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DataAnalytics\Excel_Data_Analytics\2_Formulas_Functions\"/>
    </mc:Choice>
  </mc:AlternateContent>
  <xr:revisionPtr revIDLastSave="0" documentId="13_ncr:1_{6C9D0945-2C5D-470D-B713-730CA238DB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0" i="8" l="1" a="1"/>
  <c r="AB22" i="8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W2" i="8" a="1"/>
  <c r="AA2" i="8" a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X20" i="8" s="1"/>
  <c r="U20" i="8"/>
  <c r="V20" i="8"/>
  <c r="T21" i="8"/>
  <c r="X21" i="8" s="1"/>
  <c r="U21" i="8"/>
  <c r="V21" i="8"/>
  <c r="V2" i="8"/>
  <c r="U2" i="8"/>
  <c r="T2" i="8"/>
  <c r="X2" i="8" s="1"/>
  <c r="P2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N3" i="8" l="1"/>
  <c r="R3" i="8" s="1"/>
  <c r="N7" i="8"/>
  <c r="R7" i="8" s="1"/>
  <c r="N13" i="8"/>
  <c r="R13" i="8" s="1"/>
  <c r="N16" i="8"/>
  <c r="N2" i="8"/>
  <c r="N4" i="8"/>
  <c r="R4" i="8" s="1"/>
  <c r="N6" i="8"/>
  <c r="R6" i="8" s="1"/>
  <c r="N8" i="8"/>
  <c r="R8" i="8" s="1"/>
  <c r="N15" i="8"/>
  <c r="N21" i="8"/>
  <c r="R21" i="8" s="1"/>
  <c r="N5" i="8"/>
  <c r="R5" i="8" s="1"/>
  <c r="N17" i="8"/>
  <c r="N14" i="8"/>
  <c r="R14" i="8" s="1"/>
  <c r="N9" i="8"/>
  <c r="R9" i="8" s="1"/>
  <c r="N10" i="8"/>
  <c r="R10" i="8" s="1"/>
  <c r="N11" i="8"/>
  <c r="N12" i="8"/>
  <c r="R12" i="8" s="1"/>
  <c r="N18" i="8"/>
  <c r="N19" i="8"/>
  <c r="N20" i="8"/>
  <c r="R2" i="8"/>
  <c r="R11" i="8"/>
  <c r="R15" i="8"/>
  <c r="R16" i="8"/>
  <c r="R17" i="8"/>
  <c r="R18" i="8"/>
  <c r="R19" i="8"/>
  <c r="R20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<sst xmlns="http://schemas.openxmlformats.org/spreadsheetml/2006/main" count="471" uniqueCount="96">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</sst>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>
        <c:manualLayout>
          <c:layoutTarget val="inner"/>
          <c:xMode val="edge"/>
          <c:yMode val="edge"/>
          <c:x val="5.1136482939632549E-2"/>
          <c:y val="0.16708333333333336"/>
          <c:w val="0.9155301837270341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Data!$AB$1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F-4BCF-969D-2B240AA8D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1504320"/>
        <c:axId val="1187037168"/>
      </c:barChart>
      <c:catAx>
        <c:axId val="127150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87037168"/>
        <c:crosses val="autoZero"/>
        <c:auto val="1"/>
        <c:lblAlgn val="ctr"/>
        <c:lblOffset val="100"/>
        <c:noMultiLvlLbl val="0"/>
      </c:catAx>
      <c:valAx>
        <c:axId val="11870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71504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365760</xdr:colOff>
      <xdr:row>0</xdr:row>
      <xdr:rowOff>140970</xdr:rowOff>
    </xdr:from>
    <xdr:to>
      <xdr:col>36</xdr:col>
      <xdr:colOff>60960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BD411-B0A9-5F18-5527-4D929F3B1E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E25"/>
  <sheetViews>
    <sheetView tabSelected="1" workbookViewId="0">
      <selection activeCell="AE20" sqref="AE20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9" max="9" width="0" hidden="1" customWidth="1"/>
    <col min="10" max="13" width="8.88671875" hidden="1" customWidth="1"/>
    <col min="14" max="14" width="14.21875" hidden="1" customWidth="1"/>
    <col min="15" max="15" width="8.88671875" hidden="1" customWidth="1"/>
    <col min="16" max="16" width="10.5546875" hidden="1" customWidth="1"/>
    <col min="17" max="17" width="8.88671875" hidden="1" customWidth="1"/>
    <col min="18" max="18" width="16" hidden="1" customWidth="1"/>
    <col min="19" max="19" width="8.88671875" hidden="1" customWidth="1"/>
    <col min="20" max="23" width="8.88671875" customWidth="1"/>
    <col min="24" max="25" width="14.33203125" hidden="1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W1" s="15" t="s">
        <v>90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DATE(L2,K2,J2)</f>
        <v>45324</v>
      </c>
      <c r="P2" s="9">
        <f ca="1">TODAY()</f>
        <v>46210</v>
      </c>
      <c r="R2">
        <f ca="1">DATEDIF(N2,$P$2,"D")</f>
        <v>886</v>
      </c>
      <c r="T2">
        <f>HOUR(D2)</f>
        <v>15</v>
      </c>
      <c r="U2">
        <f>MINUTE(D2)</f>
        <v>22</v>
      </c>
      <c r="V2">
        <f>SECOND(D2)</f>
        <v>15</v>
      </c>
      <c r="W2" cm="1">
        <f t="array" ref="W2:W21">HOUR(D2:D21)</f>
        <v>15</v>
      </c>
      <c r="X2" s="13">
        <f>TIME(T2,U2,V2)</f>
        <v>0.64045138888888886</v>
      </c>
      <c r="Y2" t="str">
        <f>TEXT(D2,"hh:mm")</f>
        <v>15:22</v>
      </c>
      <c r="AA2" cm="1">
        <f t="array" ref="AA2:AA25">_xlfn.SEQUENCE(24,,1)</f>
        <v>1</v>
      </c>
      <c r="AB2">
        <f>COUNTIF(_xlfn.ANCHORARRAY($W$2),AA2)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DATE(L3,K3,J3)</f>
        <v>45174</v>
      </c>
      <c r="R3">
        <f t="shared" ref="R3:R21" ca="1" si="4">DATEDIF(N3,$P$2,"D")</f>
        <v>1036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W3">
        <v>9</v>
      </c>
      <c r="X3" s="13">
        <f t="shared" ref="X3:X21" si="8">TIME(T3,U3,V3)</f>
        <v>0.40662037037037035</v>
      </c>
      <c r="Y3" t="str">
        <f t="shared" ref="Y3:Y21" si="9">TEXT(D3,"hh:mm")</f>
        <v>09:45</v>
      </c>
      <c r="AA3">
        <v>2</v>
      </c>
      <c r="AB3">
        <f t="shared" ref="AB3:AB25" si="10">COUNTIF(_xlfn.ANCHORARRAY($W$2),AA3)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45542</v>
      </c>
      <c r="R4">
        <f t="shared" ca="1" si="4"/>
        <v>668</v>
      </c>
      <c r="T4">
        <f t="shared" si="5"/>
        <v>17</v>
      </c>
      <c r="U4">
        <f t="shared" si="6"/>
        <v>30</v>
      </c>
      <c r="V4">
        <f t="shared" si="7"/>
        <v>47</v>
      </c>
      <c r="W4">
        <v>17</v>
      </c>
      <c r="X4" s="13">
        <f t="shared" si="8"/>
        <v>0.72971064814814812</v>
      </c>
      <c r="Y4" t="str">
        <f t="shared" si="9"/>
        <v>17:30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45025</v>
      </c>
      <c r="R5">
        <f t="shared" ca="1" si="4"/>
        <v>1185</v>
      </c>
      <c r="T5">
        <f t="shared" si="5"/>
        <v>7</v>
      </c>
      <c r="U5">
        <f t="shared" si="6"/>
        <v>15</v>
      </c>
      <c r="V5">
        <f t="shared" si="7"/>
        <v>9</v>
      </c>
      <c r="W5">
        <v>7</v>
      </c>
      <c r="X5" s="13">
        <f t="shared" si="8"/>
        <v>0.3021875</v>
      </c>
      <c r="Y5" t="str">
        <f t="shared" si="9"/>
        <v>07:15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45454</v>
      </c>
      <c r="R6">
        <f t="shared" ca="1" si="4"/>
        <v>756</v>
      </c>
      <c r="T6">
        <f t="shared" si="5"/>
        <v>17</v>
      </c>
      <c r="U6">
        <f t="shared" si="6"/>
        <v>0</v>
      </c>
      <c r="V6">
        <f t="shared" si="7"/>
        <v>21</v>
      </c>
      <c r="W6">
        <v>17</v>
      </c>
      <c r="X6" s="13">
        <f t="shared" si="8"/>
        <v>0.70857638888888885</v>
      </c>
      <c r="Y6" t="str">
        <f t="shared" si="9"/>
        <v>17:00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45597</v>
      </c>
      <c r="R7">
        <f t="shared" ca="1" si="4"/>
        <v>613</v>
      </c>
      <c r="T7">
        <f t="shared" si="5"/>
        <v>12</v>
      </c>
      <c r="U7">
        <f t="shared" si="6"/>
        <v>45</v>
      </c>
      <c r="V7">
        <f t="shared" si="7"/>
        <v>58</v>
      </c>
      <c r="W7">
        <v>12</v>
      </c>
      <c r="X7" s="13">
        <f t="shared" si="8"/>
        <v>0.53192129629629625</v>
      </c>
      <c r="Y7" t="str">
        <f t="shared" si="9"/>
        <v>12:45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856</v>
      </c>
      <c r="T8">
        <f t="shared" si="5"/>
        <v>16</v>
      </c>
      <c r="U8">
        <f t="shared" si="6"/>
        <v>30</v>
      </c>
      <c r="V8">
        <f t="shared" si="7"/>
        <v>33</v>
      </c>
      <c r="W8">
        <v>16</v>
      </c>
      <c r="X8" s="13">
        <f t="shared" si="8"/>
        <v>0.68788194444444439</v>
      </c>
      <c r="Y8" t="str">
        <f t="shared" si="9"/>
        <v>16:30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46057</v>
      </c>
      <c r="R9">
        <f t="shared" ca="1" si="4"/>
        <v>153</v>
      </c>
      <c r="T9">
        <f t="shared" si="5"/>
        <v>8</v>
      </c>
      <c r="U9">
        <f t="shared" si="6"/>
        <v>10</v>
      </c>
      <c r="V9">
        <f t="shared" si="7"/>
        <v>46</v>
      </c>
      <c r="W9">
        <v>8</v>
      </c>
      <c r="X9" s="13">
        <f t="shared" si="8"/>
        <v>0.34081018518518519</v>
      </c>
      <c r="Y9" t="str">
        <f t="shared" si="9"/>
        <v>08:10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45722</v>
      </c>
      <c r="R10">
        <f t="shared" ca="1" si="4"/>
        <v>488</v>
      </c>
      <c r="T10">
        <f t="shared" si="5"/>
        <v>17</v>
      </c>
      <c r="U10">
        <f t="shared" si="6"/>
        <v>50</v>
      </c>
      <c r="V10">
        <f t="shared" si="7"/>
        <v>24</v>
      </c>
      <c r="W10">
        <v>17</v>
      </c>
      <c r="X10" s="13">
        <f t="shared" si="8"/>
        <v>0.74333333333333329</v>
      </c>
      <c r="Y10" t="str">
        <f t="shared" si="9"/>
        <v>17:50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730</v>
      </c>
      <c r="T11">
        <f t="shared" si="5"/>
        <v>14</v>
      </c>
      <c r="U11">
        <f t="shared" si="6"/>
        <v>35</v>
      </c>
      <c r="V11">
        <f t="shared" si="7"/>
        <v>36</v>
      </c>
      <c r="W11">
        <v>14</v>
      </c>
      <c r="X11" s="13">
        <f t="shared" si="8"/>
        <v>0.60805555555555557</v>
      </c>
      <c r="Y11" t="str">
        <f t="shared" si="9"/>
        <v>14:35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45632</v>
      </c>
      <c r="R12">
        <f t="shared" ca="1" si="4"/>
        <v>578</v>
      </c>
      <c r="T12">
        <f t="shared" si="5"/>
        <v>6</v>
      </c>
      <c r="U12">
        <f t="shared" si="6"/>
        <v>50</v>
      </c>
      <c r="V12">
        <f t="shared" si="7"/>
        <v>18</v>
      </c>
      <c r="W12">
        <v>6</v>
      </c>
      <c r="X12" s="13">
        <f t="shared" si="8"/>
        <v>0.28493055555555558</v>
      </c>
      <c r="Y12" t="str">
        <f t="shared" si="9"/>
        <v>06:50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45658</v>
      </c>
      <c r="R13">
        <f t="shared" ca="1" si="4"/>
        <v>552</v>
      </c>
      <c r="T13">
        <f t="shared" si="5"/>
        <v>13</v>
      </c>
      <c r="U13">
        <f t="shared" si="6"/>
        <v>15</v>
      </c>
      <c r="V13">
        <f t="shared" si="7"/>
        <v>5</v>
      </c>
      <c r="W13">
        <v>13</v>
      </c>
      <c r="X13" s="13">
        <f t="shared" si="8"/>
        <v>0.55214120370370368</v>
      </c>
      <c r="Y13" t="str">
        <f t="shared" si="9"/>
        <v>13:15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45415</v>
      </c>
      <c r="R14">
        <f t="shared" ca="1" si="4"/>
        <v>795</v>
      </c>
      <c r="T14">
        <f t="shared" si="5"/>
        <v>11</v>
      </c>
      <c r="U14">
        <f t="shared" si="6"/>
        <v>45</v>
      </c>
      <c r="V14">
        <f t="shared" si="7"/>
        <v>39</v>
      </c>
      <c r="W14">
        <v>11</v>
      </c>
      <c r="X14" s="13">
        <f t="shared" si="8"/>
        <v>0.49003472222222222</v>
      </c>
      <c r="Y14" t="str">
        <f t="shared" si="9"/>
        <v>11:45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44932</v>
      </c>
      <c r="R15">
        <f t="shared" ca="1" si="4"/>
        <v>1278</v>
      </c>
      <c r="T15">
        <f t="shared" si="5"/>
        <v>10</v>
      </c>
      <c r="U15">
        <f t="shared" si="6"/>
        <v>0</v>
      </c>
      <c r="V15">
        <f t="shared" si="7"/>
        <v>51</v>
      </c>
      <c r="W15">
        <v>10</v>
      </c>
      <c r="X15" s="13">
        <f t="shared" si="8"/>
        <v>0.41725694444444444</v>
      </c>
      <c r="Y15" t="str">
        <f t="shared" si="9"/>
        <v>10:00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45816</v>
      </c>
      <c r="R16">
        <f t="shared" ca="1" si="4"/>
        <v>394</v>
      </c>
      <c r="T16">
        <f t="shared" si="5"/>
        <v>17</v>
      </c>
      <c r="U16">
        <f t="shared" si="6"/>
        <v>30</v>
      </c>
      <c r="V16">
        <f t="shared" si="7"/>
        <v>14</v>
      </c>
      <c r="W16">
        <v>17</v>
      </c>
      <c r="X16" s="13">
        <f t="shared" si="8"/>
        <v>0.72932870370370373</v>
      </c>
      <c r="Y16" t="str">
        <f t="shared" si="9"/>
        <v>17:30</v>
      </c>
      <c r="AA16">
        <v>15</v>
      </c>
      <c r="AB16">
        <f t="shared" si="10"/>
        <v>1</v>
      </c>
    </row>
    <row r="17" spans="1:31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45483</v>
      </c>
      <c r="R17">
        <f t="shared" ca="1" si="4"/>
        <v>727</v>
      </c>
      <c r="T17">
        <f t="shared" si="5"/>
        <v>7</v>
      </c>
      <c r="U17">
        <f t="shared" si="6"/>
        <v>40</v>
      </c>
      <c r="V17">
        <f t="shared" si="7"/>
        <v>29</v>
      </c>
      <c r="W17">
        <v>7</v>
      </c>
      <c r="X17" s="13">
        <f t="shared" si="8"/>
        <v>0.3197800925925926</v>
      </c>
      <c r="Y17" t="str">
        <f t="shared" si="9"/>
        <v>07:40</v>
      </c>
      <c r="AA17">
        <v>16</v>
      </c>
      <c r="AB17">
        <f t="shared" si="10"/>
        <v>1</v>
      </c>
    </row>
    <row r="18" spans="1:31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46114</v>
      </c>
      <c r="R18">
        <f t="shared" ca="1" si="4"/>
        <v>96</v>
      </c>
      <c r="T18">
        <f t="shared" si="5"/>
        <v>17</v>
      </c>
      <c r="U18">
        <f t="shared" si="6"/>
        <v>15</v>
      </c>
      <c r="V18">
        <f t="shared" si="7"/>
        <v>42</v>
      </c>
      <c r="W18">
        <v>17</v>
      </c>
      <c r="X18" s="13">
        <f t="shared" si="8"/>
        <v>0.71923611111111108</v>
      </c>
      <c r="Y18" t="str">
        <f t="shared" si="9"/>
        <v>17:15</v>
      </c>
      <c r="AA18">
        <v>17</v>
      </c>
      <c r="AB18">
        <f t="shared" si="10"/>
        <v>7</v>
      </c>
    </row>
    <row r="19" spans="1:31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45448</v>
      </c>
      <c r="R19">
        <f t="shared" ca="1" si="4"/>
        <v>762</v>
      </c>
      <c r="T19">
        <f t="shared" si="5"/>
        <v>17</v>
      </c>
      <c r="U19">
        <f t="shared" si="6"/>
        <v>25</v>
      </c>
      <c r="V19">
        <f t="shared" si="7"/>
        <v>57</v>
      </c>
      <c r="W19">
        <v>17</v>
      </c>
      <c r="X19" s="13">
        <f t="shared" si="8"/>
        <v>0.72635416666666663</v>
      </c>
      <c r="Y19" t="str">
        <f t="shared" si="9"/>
        <v>17:25</v>
      </c>
      <c r="AA19">
        <v>18</v>
      </c>
      <c r="AB19">
        <f t="shared" si="10"/>
        <v>0</v>
      </c>
    </row>
    <row r="20" spans="1:31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45968</v>
      </c>
      <c r="R20">
        <f t="shared" ca="1" si="4"/>
        <v>242</v>
      </c>
      <c r="T20">
        <f t="shared" si="5"/>
        <v>7</v>
      </c>
      <c r="U20">
        <f t="shared" si="6"/>
        <v>0</v>
      </c>
      <c r="V20">
        <f t="shared" si="7"/>
        <v>3</v>
      </c>
      <c r="W20">
        <v>7</v>
      </c>
      <c r="X20" s="13">
        <f t="shared" si="8"/>
        <v>0.29170138888888891</v>
      </c>
      <c r="Y20" t="str">
        <f t="shared" si="9"/>
        <v>07:00</v>
      </c>
      <c r="AA20">
        <v>19</v>
      </c>
      <c r="AB20">
        <f t="shared" si="10"/>
        <v>0</v>
      </c>
      <c r="AE20" t="e" cm="1">
        <f t="array" aca="1" ref="AE20" ca="1">Textsplit()</f>
        <v>#NAME?</v>
      </c>
    </row>
    <row r="21" spans="1:31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45570</v>
      </c>
      <c r="R21">
        <f t="shared" ca="1" si="4"/>
        <v>640</v>
      </c>
      <c r="T21">
        <f t="shared" si="5"/>
        <v>17</v>
      </c>
      <c r="U21">
        <f t="shared" si="6"/>
        <v>45</v>
      </c>
      <c r="V21">
        <f t="shared" si="7"/>
        <v>26</v>
      </c>
      <c r="W21">
        <v>17</v>
      </c>
      <c r="X21" s="13">
        <f t="shared" si="8"/>
        <v>0.73988425925925927</v>
      </c>
      <c r="Y21" t="str">
        <f t="shared" si="9"/>
        <v>17:45</v>
      </c>
      <c r="AA21">
        <v>20</v>
      </c>
      <c r="AB21">
        <f t="shared" si="10"/>
        <v>0</v>
      </c>
    </row>
    <row r="22" spans="1:31" x14ac:dyDescent="0.3">
      <c r="AA22">
        <v>21</v>
      </c>
      <c r="AB22">
        <f t="shared" si="10"/>
        <v>0</v>
      </c>
    </row>
    <row r="23" spans="1:31" x14ac:dyDescent="0.3">
      <c r="AA23">
        <v>22</v>
      </c>
      <c r="AB23">
        <f t="shared" si="10"/>
        <v>0</v>
      </c>
    </row>
    <row r="24" spans="1:31" x14ac:dyDescent="0.3">
      <c r="AA24">
        <v>23</v>
      </c>
      <c r="AB24">
        <f t="shared" si="10"/>
        <v>0</v>
      </c>
    </row>
    <row r="25" spans="1:31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0.554687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46210</v>
      </c>
      <c r="R2">
        <f ca="1">DATEDIF(D2,$P$2,"D")</f>
        <v>1239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1155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1082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1037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962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908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856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802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752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730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755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1259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1208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1132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1042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992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860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792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714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Vishesh Bajaj</cp:lastModifiedBy>
  <dcterms:created xsi:type="dcterms:W3CDTF">2015-06-05T18:17:20Z</dcterms:created>
  <dcterms:modified xsi:type="dcterms:W3CDTF">2026-07-07T11:58:58Z</dcterms:modified>
</cp:coreProperties>
</file>