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E:\DataAnalytics\Excel_Data_Analytics\2_Formulas_Functions\"/>
    </mc:Choice>
  </mc:AlternateContent>
  <xr:revisionPtr revIDLastSave="0" documentId="13_ncr:1_{E9544A84-EC75-4123-A256-EB1B137972FE}" xr6:coauthVersionLast="47" xr6:coauthVersionMax="47" xr10:uidLastSave="{00000000-0000-0000-0000-000000000000}"/>
  <bookViews>
    <workbookView xWindow="-108" yWindow="-108" windowWidth="23256" windowHeight="12456" activeTab="2" xr2:uid="{8CC555B5-3E06-43B6-9E5B-C0A1D3498DA4}"/>
  </bookViews>
  <sheets>
    <sheet name="Data" sheetId="9" r:id="rId1"/>
    <sheet name="Final" sheetId="7" r:id="rId2"/>
    <sheet name="Errors" sheetId="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7" i="9" l="1"/>
  <c r="D17" i="9"/>
  <c r="C16" i="9"/>
  <c r="D16" i="9"/>
  <c r="D15" i="9"/>
  <c r="E15" i="9"/>
  <c r="C15" i="9"/>
  <c r="D14" i="9"/>
  <c r="E14" i="9"/>
  <c r="F14" i="9"/>
  <c r="G14" i="9"/>
  <c r="H14" i="9"/>
  <c r="I14" i="9"/>
  <c r="C14" i="9"/>
  <c r="D13" i="9"/>
  <c r="E13" i="9"/>
  <c r="F13" i="9"/>
  <c r="G13" i="9"/>
  <c r="H13" i="9"/>
  <c r="I13" i="9"/>
  <c r="J13" i="9"/>
  <c r="K13" i="9"/>
  <c r="C13" i="9"/>
  <c r="L12" i="9"/>
  <c r="K12" i="9"/>
  <c r="H12" i="9"/>
  <c r="I12" i="9" s="1"/>
  <c r="G12" i="9"/>
  <c r="F12" i="9"/>
  <c r="L11" i="9"/>
  <c r="K11" i="9"/>
  <c r="H11" i="9"/>
  <c r="I11" i="9" s="1"/>
  <c r="G11" i="9"/>
  <c r="F11" i="9"/>
  <c r="L10" i="9"/>
  <c r="K10" i="9"/>
  <c r="H10" i="9"/>
  <c r="I10" i="9" s="1"/>
  <c r="G10" i="9"/>
  <c r="F10" i="9"/>
  <c r="L9" i="9"/>
  <c r="K9" i="9"/>
  <c r="H9" i="9"/>
  <c r="I9" i="9" s="1"/>
  <c r="G9" i="9"/>
  <c r="F9" i="9"/>
  <c r="L8" i="9"/>
  <c r="K8" i="9"/>
  <c r="H8" i="9"/>
  <c r="I8" i="9" s="1"/>
  <c r="G8" i="9"/>
  <c r="F8" i="9"/>
  <c r="M7" i="9"/>
  <c r="P7" i="9" s="1"/>
  <c r="L7" i="9"/>
  <c r="K7" i="9"/>
  <c r="I7" i="9"/>
  <c r="J7" i="9" s="1"/>
  <c r="H7" i="9"/>
  <c r="G7" i="9"/>
  <c r="F7" i="9"/>
  <c r="L6" i="9"/>
  <c r="K6" i="9"/>
  <c r="H6" i="9"/>
  <c r="I6" i="9" s="1"/>
  <c r="G6" i="9"/>
  <c r="F6" i="9"/>
  <c r="L5" i="9"/>
  <c r="K5" i="9"/>
  <c r="H5" i="9"/>
  <c r="I5" i="9" s="1"/>
  <c r="G5" i="9"/>
  <c r="F5" i="9"/>
  <c r="L4" i="9"/>
  <c r="K4" i="9"/>
  <c r="H4" i="9"/>
  <c r="I4" i="9" s="1"/>
  <c r="G4" i="9"/>
  <c r="F4" i="9"/>
  <c r="L3" i="9"/>
  <c r="K3" i="9"/>
  <c r="H3" i="9"/>
  <c r="I3" i="9" s="1"/>
  <c r="G3" i="9"/>
  <c r="F3" i="9"/>
  <c r="B9" i="8"/>
  <c r="B4" i="8"/>
  <c r="B6" i="8" a="1"/>
  <c r="B7" i="8"/>
  <c r="B5" i="8"/>
  <c r="B8" i="8"/>
  <c r="B3" i="8"/>
  <c r="D17" i="7"/>
  <c r="D16" i="7"/>
  <c r="C17" i="7"/>
  <c r="C16" i="7"/>
  <c r="C15" i="7"/>
  <c r="D15" i="7"/>
  <c r="E15" i="7"/>
  <c r="D14" i="7"/>
  <c r="E14" i="7"/>
  <c r="F14" i="7"/>
  <c r="C14" i="7"/>
  <c r="D13" i="7"/>
  <c r="E13" i="7"/>
  <c r="C13" i="7"/>
  <c r="L12" i="7"/>
  <c r="P12" i="7" s="1"/>
  <c r="K12" i="7"/>
  <c r="H12" i="7"/>
  <c r="I12" i="7" s="1"/>
  <c r="G12" i="7"/>
  <c r="M12" i="7" s="1"/>
  <c r="F12" i="7"/>
  <c r="L11" i="7"/>
  <c r="P11" i="7" s="1"/>
  <c r="K11" i="7"/>
  <c r="I11" i="7"/>
  <c r="J11" i="7" s="1"/>
  <c r="H11" i="7"/>
  <c r="G11" i="7"/>
  <c r="M11" i="7" s="1"/>
  <c r="F11" i="7"/>
  <c r="L10" i="7"/>
  <c r="K10" i="7"/>
  <c r="H10" i="7"/>
  <c r="I10" i="7" s="1"/>
  <c r="G10" i="7"/>
  <c r="J10" i="7" s="1"/>
  <c r="F10" i="7"/>
  <c r="L9" i="7"/>
  <c r="K9" i="7"/>
  <c r="H9" i="7"/>
  <c r="I9" i="7" s="1"/>
  <c r="G9" i="7"/>
  <c r="M9" i="7" s="1"/>
  <c r="P9" i="7" s="1"/>
  <c r="F9" i="7"/>
  <c r="L8" i="7"/>
  <c r="K8" i="7"/>
  <c r="I8" i="7"/>
  <c r="J8" i="7" s="1"/>
  <c r="H8" i="7"/>
  <c r="G8" i="7"/>
  <c r="M8" i="7" s="1"/>
  <c r="P8" i="7" s="1"/>
  <c r="F8" i="7"/>
  <c r="L7" i="7"/>
  <c r="K7" i="7"/>
  <c r="H7" i="7"/>
  <c r="I7" i="7" s="1"/>
  <c r="G7" i="7"/>
  <c r="M7" i="7" s="1"/>
  <c r="P7" i="7" s="1"/>
  <c r="F7" i="7"/>
  <c r="L6" i="7"/>
  <c r="K6" i="7"/>
  <c r="H6" i="7"/>
  <c r="I6" i="7" s="1"/>
  <c r="G6" i="7"/>
  <c r="M6" i="7" s="1"/>
  <c r="P6" i="7" s="1"/>
  <c r="F6" i="7"/>
  <c r="L5" i="7"/>
  <c r="P5" i="7" s="1"/>
  <c r="K5" i="7"/>
  <c r="I5" i="7"/>
  <c r="J5" i="7" s="1"/>
  <c r="H5" i="7"/>
  <c r="G5" i="7"/>
  <c r="M5" i="7" s="1"/>
  <c r="F5" i="7"/>
  <c r="L4" i="7"/>
  <c r="K4" i="7"/>
  <c r="H4" i="7"/>
  <c r="I4" i="7" s="1"/>
  <c r="G4" i="7"/>
  <c r="J4" i="7" s="1"/>
  <c r="F4" i="7"/>
  <c r="L3" i="7"/>
  <c r="P3" i="7" s="1"/>
  <c r="K3" i="7"/>
  <c r="H3" i="7"/>
  <c r="I3" i="7" s="1"/>
  <c r="G3" i="7"/>
  <c r="M3" i="7" s="1"/>
  <c r="F3" i="7"/>
  <c r="L13" i="9" l="1"/>
  <c r="M12" i="9"/>
  <c r="P12" i="9" s="1"/>
  <c r="J12" i="9"/>
  <c r="J11" i="9"/>
  <c r="M11" i="9"/>
  <c r="P11" i="9" s="1"/>
  <c r="M10" i="9"/>
  <c r="P10" i="9" s="1"/>
  <c r="J10" i="9"/>
  <c r="J9" i="9"/>
  <c r="M9" i="9"/>
  <c r="P9" i="9" s="1"/>
  <c r="J8" i="9"/>
  <c r="M8" i="9"/>
  <c r="O7" i="9"/>
  <c r="N7" i="9"/>
  <c r="J6" i="9"/>
  <c r="M6" i="9"/>
  <c r="P6" i="9" s="1"/>
  <c r="J5" i="9"/>
  <c r="M5" i="9"/>
  <c r="P5" i="9" s="1"/>
  <c r="J4" i="9"/>
  <c r="M4" i="9"/>
  <c r="P4" i="9" s="1"/>
  <c r="M3" i="9"/>
  <c r="J3" i="9"/>
  <c r="P10" i="7"/>
  <c r="O9" i="7"/>
  <c r="O11" i="7"/>
  <c r="N5" i="7"/>
  <c r="O5" i="7"/>
  <c r="N11" i="7"/>
  <c r="O6" i="7"/>
  <c r="N8" i="7"/>
  <c r="O8" i="7"/>
  <c r="O3" i="7"/>
  <c r="O7" i="7"/>
  <c r="N7" i="7"/>
  <c r="O12" i="7"/>
  <c r="J3" i="7"/>
  <c r="J6" i="7"/>
  <c r="J9" i="7"/>
  <c r="J12" i="7"/>
  <c r="M4" i="7"/>
  <c r="P4" i="7" s="1"/>
  <c r="M10" i="7"/>
  <c r="N6" i="7"/>
  <c r="J7" i="7"/>
  <c r="N9" i="7"/>
  <c r="N12" i="7"/>
  <c r="N3" i="7"/>
  <c r="N8" i="9" l="1"/>
  <c r="O8" i="9"/>
  <c r="P8" i="9"/>
  <c r="P3" i="9"/>
  <c r="M13" i="9"/>
  <c r="N10" i="9"/>
  <c r="O10" i="9"/>
  <c r="N3" i="9"/>
  <c r="O3" i="9"/>
  <c r="O12" i="9"/>
  <c r="N12" i="9"/>
  <c r="N11" i="9"/>
  <c r="O11" i="9"/>
  <c r="N9" i="9"/>
  <c r="O9" i="9"/>
  <c r="N6" i="9"/>
  <c r="O6" i="9"/>
  <c r="N5" i="9"/>
  <c r="O5" i="9"/>
  <c r="N4" i="9"/>
  <c r="O4" i="9"/>
  <c r="O10" i="7"/>
  <c r="N10" i="7"/>
  <c r="O4" i="7"/>
  <c r="N4" i="7"/>
  <c r="N14" i="9" l="1"/>
  <c r="N13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<sst xmlns="http://schemas.openxmlformats.org/spreadsheetml/2006/main" count="83" uniqueCount="49">
  <si>
    <t>Data Scientist</t>
  </si>
  <si>
    <t>Machine Learning Engineer</t>
  </si>
  <si>
    <t>Data Analyst</t>
  </si>
  <si>
    <t>Business Intelligence Dev</t>
  </si>
  <si>
    <t>Data Engineer</t>
  </si>
  <si>
    <t>Statistician</t>
  </si>
  <si>
    <t>Data Architect</t>
  </si>
  <si>
    <t>Research Scientist</t>
  </si>
  <si>
    <t>AI Specialist</t>
  </si>
  <si>
    <t>Big Data Engineer</t>
  </si>
  <si>
    <t>Job Title</t>
  </si>
  <si>
    <t>Annual Salary ($USD)</t>
  </si>
  <si>
    <t xml:space="preserve"> Experience (Years)</t>
  </si>
  <si>
    <t>Bonus Max ($USD)</t>
  </si>
  <si>
    <t>Total Salary (+)</t>
  </si>
  <si>
    <t>Experience (=)</t>
  </si>
  <si>
    <t>Bonus Rate (/)</t>
  </si>
  <si>
    <t>Confirm Total Salary</t>
  </si>
  <si>
    <t>Is Bonus &gt; Annual Salary?</t>
  </si>
  <si>
    <t>Does Total Salary = Confirmed Salary?</t>
  </si>
  <si>
    <t>Meets Salary</t>
  </si>
  <si>
    <t>Meets Experience</t>
  </si>
  <si>
    <t>Experience (&lt;=)</t>
  </si>
  <si>
    <t>Total Salary (&gt;=)</t>
  </si>
  <si>
    <t>Job Goals:</t>
  </si>
  <si>
    <t>Meets Both (1 or 0)</t>
  </si>
  <si>
    <t>Meets Both - AND()</t>
  </si>
  <si>
    <t>Average (by Cell)</t>
  </si>
  <si>
    <t>Average (AVERAGE())</t>
  </si>
  <si>
    <t>Meets Both - Formula Only</t>
  </si>
  <si>
    <t>Total Count</t>
  </si>
  <si>
    <t>Meets Goals Count</t>
  </si>
  <si>
    <t>Error Type</t>
  </si>
  <si>
    <t>Description</t>
  </si>
  <si>
    <t>The formula is trying to divide by zero</t>
  </si>
  <si>
    <t>The formula includes an argument of the wrong type</t>
  </si>
  <si>
    <t>The formula uses a name that Excel doesn’t recognize</t>
  </si>
  <si>
    <t>The formula is referring to a cell whose data isn’t available</t>
  </si>
  <si>
    <t>There is a problem with the value in the formula</t>
  </si>
  <si>
    <t>The formula is trying to use an intersection of two ranges that don’t intersect</t>
  </si>
  <si>
    <t>Formula</t>
  </si>
  <si>
    <t>=1/0</t>
  </si>
  <si>
    <t>=B4 + "text"</t>
  </si>
  <si>
    <t>=#REF!</t>
  </si>
  <si>
    <t>=SQRT(-1)</t>
  </si>
  <si>
    <t>=SUM(A1:A10 B1:B10)</t>
  </si>
  <si>
    <t>=VLOOKUP("Value", A1:A10, 2, FALSE)</t>
  </si>
  <si>
    <t>=COUNTT(A3:A9)</t>
  </si>
  <si>
    <t>The formula refers to a cell that isn’t valid (usually deleted cell)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</si>
</sst>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u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indexed="64"/>
      </left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/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 style="mediumDashed">
        <color indexed="64"/>
      </left>
      <right style="mediumDashed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0">
    <xf numFmtId="0" fontId="0" fillId="0" borderId="0" xfId="0"/>
    <xf numFmtId="0" fontId="3" fillId="0" borderId="0" xfId="0" applyFont="1"/>
    <xf numFmtId="0" fontId="4" fillId="2" borderId="2" xfId="0" applyFont="1" applyFill="1" applyBorder="1" applyAlignment="1">
      <alignment horizontal="center" wrapText="1"/>
    </xf>
    <xf numFmtId="0" fontId="4" fillId="2" borderId="3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 wrapText="1"/>
    </xf>
    <xf numFmtId="0" fontId="3" fillId="0" borderId="5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0" xfId="0" applyFont="1" applyAlignment="1">
      <alignment horizontal="center" wrapText="1"/>
    </xf>
    <xf numFmtId="0" fontId="0" fillId="0" borderId="1" xfId="0" applyBorder="1" applyAlignment="1">
      <alignment vertical="center" wrapText="1"/>
    </xf>
    <xf numFmtId="0" fontId="4" fillId="0" borderId="2" xfId="0" applyFont="1" applyBorder="1"/>
    <xf numFmtId="0" fontId="3" fillId="0" borderId="4" xfId="0" applyFont="1" applyBorder="1"/>
    <xf numFmtId="0" fontId="4" fillId="0" borderId="7" xfId="0" applyFont="1" applyBorder="1"/>
    <xf numFmtId="0" fontId="3" fillId="0" borderId="9" xfId="0" applyFont="1" applyBorder="1"/>
    <xf numFmtId="0" fontId="5" fillId="0" borderId="0" xfId="0" applyFont="1"/>
    <xf numFmtId="0" fontId="3" fillId="0" borderId="10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3" fillId="0" borderId="12" xfId="0" applyFont="1" applyBorder="1" applyAlignment="1">
      <alignment vertical="center"/>
    </xf>
    <xf numFmtId="0" fontId="3" fillId="0" borderId="1" xfId="0" applyFont="1" applyBorder="1"/>
    <xf numFmtId="0" fontId="3" fillId="0" borderId="13" xfId="0" applyFont="1" applyBorder="1"/>
    <xf numFmtId="0" fontId="3" fillId="0" borderId="11" xfId="0" applyFont="1" applyBorder="1"/>
    <xf numFmtId="0" fontId="4" fillId="0" borderId="14" xfId="0" applyFont="1" applyBorder="1" applyAlignment="1">
      <alignment horizontal="center" wrapText="1"/>
    </xf>
    <xf numFmtId="0" fontId="3" fillId="0" borderId="14" xfId="0" applyFont="1" applyBorder="1"/>
    <xf numFmtId="164" fontId="3" fillId="0" borderId="14" xfId="1" applyNumberFormat="1" applyFont="1" applyBorder="1" applyAlignment="1"/>
    <xf numFmtId="0" fontId="3" fillId="0" borderId="14" xfId="1" applyNumberFormat="1" applyFont="1" applyBorder="1" applyAlignment="1"/>
    <xf numFmtId="0" fontId="4" fillId="0" borderId="15" xfId="0" applyFont="1" applyBorder="1" applyAlignment="1">
      <alignment horizontal="center" wrapText="1"/>
    </xf>
    <xf numFmtId="0" fontId="3" fillId="0" borderId="15" xfId="0" applyFont="1" applyBorder="1"/>
    <xf numFmtId="0" fontId="4" fillId="0" borderId="16" xfId="0" applyFont="1" applyBorder="1" applyAlignment="1">
      <alignment horizontal="center" wrapText="1"/>
    </xf>
    <xf numFmtId="0" fontId="3" fillId="0" borderId="17" xfId="0" applyFont="1" applyBorder="1"/>
    <xf numFmtId="0" fontId="4" fillId="0" borderId="18" xfId="0" applyFont="1" applyBorder="1"/>
    <xf numFmtId="0" fontId="3" fillId="0" borderId="19" xfId="0" applyFont="1" applyBorder="1"/>
    <xf numFmtId="0" fontId="4" fillId="0" borderId="10" xfId="0" applyFont="1" applyBorder="1"/>
    <xf numFmtId="0" fontId="3" fillId="0" borderId="12" xfId="0" applyFont="1" applyBorder="1"/>
    <xf numFmtId="0" fontId="4" fillId="0" borderId="5" xfId="0" applyFont="1" applyBorder="1"/>
    <xf numFmtId="0" fontId="3" fillId="3" borderId="6" xfId="0" applyFont="1" applyFill="1" applyBorder="1"/>
    <xf numFmtId="0" fontId="3" fillId="0" borderId="8" xfId="0" applyFont="1" applyBorder="1"/>
    <xf numFmtId="0" fontId="3" fillId="3" borderId="9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0" fillId="0" borderId="1" xfId="0" quotePrefix="1" applyBorder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CD6FF-D395-4E5D-8BBF-894CC867CF0B}">
  <we:reference id="wa200006518" version="1.0.3.0" store="en-US" storeType="OMEX"/>
  <we:alternateReferences>
    <we:reference id="WA200006518" version="1.0.3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0858819E-0033-43BF-8937-05EC82904868}">
      <we:backgroundApp state="0" runtimeId="Anaconda.SharedRuntime.Url"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E2224-2E95-4FCC-A032-AA541E0AE3D4}">
  <dimension ref="B1:S17"/>
  <sheetViews>
    <sheetView zoomScale="120" zoomScaleNormal="120" workbookViewId="0">
      <selection activeCell="J15" sqref="J15"/>
    </sheetView>
  </sheetViews>
  <sheetFormatPr defaultColWidth="9" defaultRowHeight="14.4" x14ac:dyDescent="0.3"/>
  <cols>
    <col min="1" max="1" width="5.109375" style="1" customWidth="1"/>
    <col min="2" max="2" width="22.6640625" style="1" bestFit="1" customWidth="1"/>
    <col min="3" max="3" width="10.44140625" style="1" customWidth="1"/>
    <col min="4" max="4" width="12.21875" style="1" customWidth="1"/>
    <col min="5" max="5" width="11.5546875" style="1" customWidth="1"/>
    <col min="6" max="6" width="10.5546875" style="1" customWidth="1"/>
    <col min="7" max="7" width="9" style="1" customWidth="1"/>
    <col min="8" max="9" width="11" style="1" customWidth="1"/>
    <col min="10" max="10" width="17.21875" style="1" customWidth="1"/>
    <col min="11" max="11" width="14.21875" style="1" customWidth="1"/>
    <col min="12" max="12" width="10.109375" style="1" customWidth="1"/>
    <col min="13" max="13" width="9" style="1" customWidth="1"/>
    <col min="14" max="14" width="10.44140625" style="1" customWidth="1"/>
    <col min="15" max="15" width="14.109375" style="1" customWidth="1"/>
    <col min="16" max="16" width="11.88671875" style="1" customWidth="1"/>
    <col min="17" max="17" width="9" style="1"/>
    <col min="18" max="18" width="14" style="1" bestFit="1" customWidth="1"/>
    <col min="19" max="16384" width="9" style="1"/>
  </cols>
  <sheetData>
    <row r="1" spans="2:19" ht="15" thickBot="1" x14ac:dyDescent="0.35">
      <c r="G1" s="28"/>
    </row>
    <row r="2" spans="2:19" s="8" customFormat="1" ht="27.75" customHeight="1" thickBot="1" x14ac:dyDescent="0.35">
      <c r="B2" s="2" t="s">
        <v>10</v>
      </c>
      <c r="C2" s="3" t="s">
        <v>12</v>
      </c>
      <c r="D2" s="3" t="s">
        <v>11</v>
      </c>
      <c r="E2" s="4" t="s">
        <v>13</v>
      </c>
      <c r="F2" s="25" t="s">
        <v>15</v>
      </c>
      <c r="G2" s="27" t="s">
        <v>14</v>
      </c>
      <c r="H2" s="21" t="s">
        <v>16</v>
      </c>
      <c r="I2" s="21" t="s">
        <v>17</v>
      </c>
      <c r="J2" s="21" t="s">
        <v>19</v>
      </c>
      <c r="K2" s="21" t="s">
        <v>18</v>
      </c>
      <c r="L2" s="21" t="s">
        <v>21</v>
      </c>
      <c r="M2" s="21" t="s">
        <v>20</v>
      </c>
      <c r="N2" s="21" t="s">
        <v>25</v>
      </c>
      <c r="O2" s="21" t="s">
        <v>29</v>
      </c>
      <c r="P2" s="21" t="s">
        <v>26</v>
      </c>
      <c r="R2" s="14" t="s">
        <v>24</v>
      </c>
      <c r="S2" s="1"/>
    </row>
    <row r="3" spans="2:19" ht="15" thickBot="1" x14ac:dyDescent="0.35">
      <c r="B3" s="5" t="s">
        <v>0</v>
      </c>
      <c r="C3" s="6">
        <v>5</v>
      </c>
      <c r="D3" s="6">
        <v>120000</v>
      </c>
      <c r="E3" s="7">
        <v>10000</v>
      </c>
      <c r="F3" s="26">
        <f>C3</f>
        <v>5</v>
      </c>
      <c r="G3" s="22">
        <f>D3+E3</f>
        <v>130000</v>
      </c>
      <c r="H3" s="23">
        <f>E3/D3</f>
        <v>8.3333333333333329E-2</v>
      </c>
      <c r="I3" s="24">
        <f>D3+D3*H3</f>
        <v>130000</v>
      </c>
      <c r="J3" s="22" t="b">
        <f>G3=I3</f>
        <v>1</v>
      </c>
      <c r="K3" s="22" t="b">
        <f>E3&gt;D3</f>
        <v>0</v>
      </c>
      <c r="L3" s="22" t="b">
        <f t="shared" ref="L3:L12" si="0">$S$3&lt;=C3</f>
        <v>0</v>
      </c>
      <c r="M3" s="22" t="b">
        <f t="shared" ref="M3:M12" si="1">$G3&gt;=$S$4</f>
        <v>1</v>
      </c>
      <c r="N3" s="22">
        <f>L3*M3</f>
        <v>0</v>
      </c>
      <c r="O3" s="22" t="b">
        <f>L3*M3=1</f>
        <v>0</v>
      </c>
      <c r="P3" s="22" t="b">
        <f>AND(L3,M3)</f>
        <v>0</v>
      </c>
      <c r="R3" s="10" t="s">
        <v>22</v>
      </c>
      <c r="S3" s="11">
        <v>6</v>
      </c>
    </row>
    <row r="4" spans="2:19" ht="15" thickBot="1" x14ac:dyDescent="0.35">
      <c r="B4" s="5" t="s">
        <v>1</v>
      </c>
      <c r="C4" s="6">
        <v>4</v>
      </c>
      <c r="D4" s="6">
        <v>135000</v>
      </c>
      <c r="E4" s="7">
        <v>12000</v>
      </c>
      <c r="F4" s="26">
        <f t="shared" ref="F4:F12" si="2">C4</f>
        <v>4</v>
      </c>
      <c r="G4" s="22">
        <f t="shared" ref="G4:G12" si="3">D4+E4</f>
        <v>147000</v>
      </c>
      <c r="H4" s="23">
        <f t="shared" ref="H4:H12" si="4">E4/D4</f>
        <v>8.8888888888888892E-2</v>
      </c>
      <c r="I4" s="24">
        <f t="shared" ref="I4:I12" si="5">D4+D4*H4</f>
        <v>147000</v>
      </c>
      <c r="J4" s="22" t="b">
        <f t="shared" ref="J4:J12" si="6">G4=I4</f>
        <v>1</v>
      </c>
      <c r="K4" s="22" t="b">
        <f t="shared" ref="K4:K12" si="7">E4&gt;D4</f>
        <v>0</v>
      </c>
      <c r="L4" s="22" t="b">
        <f t="shared" si="0"/>
        <v>0</v>
      </c>
      <c r="M4" s="22" t="b">
        <f t="shared" si="1"/>
        <v>1</v>
      </c>
      <c r="N4" s="22">
        <f t="shared" ref="N4:N12" si="8">L4*M4</f>
        <v>0</v>
      </c>
      <c r="O4" s="22" t="b">
        <f t="shared" ref="O4:O12" si="9">L4*M4=1</f>
        <v>0</v>
      </c>
      <c r="P4" s="22" t="b">
        <f t="shared" ref="P4:P12" si="10">AND(L4,M4)</f>
        <v>0</v>
      </c>
      <c r="R4" s="12" t="s">
        <v>23</v>
      </c>
      <c r="S4" s="13">
        <v>60000</v>
      </c>
    </row>
    <row r="5" spans="2:19" ht="15" thickBot="1" x14ac:dyDescent="0.35">
      <c r="B5" s="5" t="s">
        <v>2</v>
      </c>
      <c r="C5" s="6">
        <v>2</v>
      </c>
      <c r="D5" s="6">
        <v>75000</v>
      </c>
      <c r="E5" s="7">
        <v>5000</v>
      </c>
      <c r="F5" s="26">
        <f t="shared" si="2"/>
        <v>2</v>
      </c>
      <c r="G5" s="22">
        <f t="shared" si="3"/>
        <v>80000</v>
      </c>
      <c r="H5" s="23">
        <f t="shared" si="4"/>
        <v>6.6666666666666666E-2</v>
      </c>
      <c r="I5" s="24">
        <f t="shared" si="5"/>
        <v>80000</v>
      </c>
      <c r="J5" s="22" t="b">
        <f t="shared" si="6"/>
        <v>1</v>
      </c>
      <c r="K5" s="22" t="b">
        <f t="shared" si="7"/>
        <v>0</v>
      </c>
      <c r="L5" s="22" t="b">
        <f t="shared" si="0"/>
        <v>0</v>
      </c>
      <c r="M5" s="22" t="b">
        <f t="shared" si="1"/>
        <v>1</v>
      </c>
      <c r="N5" s="22">
        <f t="shared" si="8"/>
        <v>0</v>
      </c>
      <c r="O5" s="22" t="b">
        <f t="shared" si="9"/>
        <v>0</v>
      </c>
      <c r="P5" s="22" t="b">
        <f t="shared" si="10"/>
        <v>0</v>
      </c>
    </row>
    <row r="6" spans="2:19" ht="15" thickBot="1" x14ac:dyDescent="0.35">
      <c r="B6" s="5" t="s">
        <v>3</v>
      </c>
      <c r="C6" s="6">
        <v>6</v>
      </c>
      <c r="D6" s="6">
        <v>110000</v>
      </c>
      <c r="E6" s="7">
        <v>8000</v>
      </c>
      <c r="F6" s="26">
        <f t="shared" si="2"/>
        <v>6</v>
      </c>
      <c r="G6" s="22">
        <f t="shared" si="3"/>
        <v>118000</v>
      </c>
      <c r="H6" s="23">
        <f t="shared" si="4"/>
        <v>7.2727272727272724E-2</v>
      </c>
      <c r="I6" s="24">
        <f t="shared" si="5"/>
        <v>118000</v>
      </c>
      <c r="J6" s="22" t="b">
        <f t="shared" si="6"/>
        <v>1</v>
      </c>
      <c r="K6" s="22" t="b">
        <f t="shared" si="7"/>
        <v>0</v>
      </c>
      <c r="L6" s="22" t="b">
        <f t="shared" si="0"/>
        <v>1</v>
      </c>
      <c r="M6" s="22" t="b">
        <f t="shared" si="1"/>
        <v>1</v>
      </c>
      <c r="N6" s="22">
        <f t="shared" si="8"/>
        <v>1</v>
      </c>
      <c r="O6" s="22" t="b">
        <f t="shared" si="9"/>
        <v>1</v>
      </c>
      <c r="P6" s="22" t="b">
        <f t="shared" si="10"/>
        <v>1</v>
      </c>
    </row>
    <row r="7" spans="2:19" ht="15" thickBot="1" x14ac:dyDescent="0.35">
      <c r="B7" s="5" t="s">
        <v>4</v>
      </c>
      <c r="C7" s="6">
        <v>3</v>
      </c>
      <c r="D7" s="6">
        <v>125000</v>
      </c>
      <c r="E7" s="7">
        <v>11000</v>
      </c>
      <c r="F7" s="26">
        <f t="shared" si="2"/>
        <v>3</v>
      </c>
      <c r="G7" s="22">
        <f t="shared" si="3"/>
        <v>136000</v>
      </c>
      <c r="H7" s="23">
        <f t="shared" si="4"/>
        <v>8.7999999999999995E-2</v>
      </c>
      <c r="I7" s="24">
        <f t="shared" si="5"/>
        <v>136000</v>
      </c>
      <c r="J7" s="22" t="b">
        <f t="shared" si="6"/>
        <v>1</v>
      </c>
      <c r="K7" s="22" t="b">
        <f t="shared" si="7"/>
        <v>0</v>
      </c>
      <c r="L7" s="22" t="b">
        <f t="shared" si="0"/>
        <v>0</v>
      </c>
      <c r="M7" s="22" t="b">
        <f t="shared" si="1"/>
        <v>1</v>
      </c>
      <c r="N7" s="22">
        <f t="shared" si="8"/>
        <v>0</v>
      </c>
      <c r="O7" s="22" t="b">
        <f t="shared" si="9"/>
        <v>0</v>
      </c>
      <c r="P7" s="22" t="b">
        <f t="shared" si="10"/>
        <v>0</v>
      </c>
    </row>
    <row r="8" spans="2:19" ht="15" thickBot="1" x14ac:dyDescent="0.35">
      <c r="B8" s="5" t="s">
        <v>5</v>
      </c>
      <c r="C8" s="6">
        <v>7</v>
      </c>
      <c r="D8" s="6">
        <v>90000</v>
      </c>
      <c r="E8" s="7">
        <v>7000</v>
      </c>
      <c r="F8" s="26">
        <f t="shared" si="2"/>
        <v>7</v>
      </c>
      <c r="G8" s="22">
        <f t="shared" si="3"/>
        <v>97000</v>
      </c>
      <c r="H8" s="23">
        <f t="shared" si="4"/>
        <v>7.7777777777777779E-2</v>
      </c>
      <c r="I8" s="24">
        <f t="shared" si="5"/>
        <v>97000</v>
      </c>
      <c r="J8" s="22" t="b">
        <f t="shared" si="6"/>
        <v>1</v>
      </c>
      <c r="K8" s="22" t="b">
        <f t="shared" si="7"/>
        <v>0</v>
      </c>
      <c r="L8" s="22" t="b">
        <f t="shared" si="0"/>
        <v>1</v>
      </c>
      <c r="M8" s="22" t="b">
        <f t="shared" si="1"/>
        <v>1</v>
      </c>
      <c r="N8" s="22">
        <f t="shared" si="8"/>
        <v>1</v>
      </c>
      <c r="O8" s="22" t="b">
        <f t="shared" si="9"/>
        <v>1</v>
      </c>
      <c r="P8" s="22" t="b">
        <f t="shared" si="10"/>
        <v>1</v>
      </c>
    </row>
    <row r="9" spans="2:19" ht="15" thickBot="1" x14ac:dyDescent="0.35">
      <c r="B9" s="5" t="s">
        <v>6</v>
      </c>
      <c r="C9" s="6">
        <v>10</v>
      </c>
      <c r="D9" s="6">
        <v>150000</v>
      </c>
      <c r="E9" s="7">
        <v>15000</v>
      </c>
      <c r="F9" s="26">
        <f t="shared" si="2"/>
        <v>10</v>
      </c>
      <c r="G9" s="22">
        <f t="shared" si="3"/>
        <v>165000</v>
      </c>
      <c r="H9" s="23">
        <f t="shared" si="4"/>
        <v>0.1</v>
      </c>
      <c r="I9" s="24">
        <f t="shared" si="5"/>
        <v>165000</v>
      </c>
      <c r="J9" s="22" t="b">
        <f t="shared" si="6"/>
        <v>1</v>
      </c>
      <c r="K9" s="22" t="b">
        <f t="shared" si="7"/>
        <v>0</v>
      </c>
      <c r="L9" s="22" t="b">
        <f t="shared" si="0"/>
        <v>1</v>
      </c>
      <c r="M9" s="22" t="b">
        <f t="shared" si="1"/>
        <v>1</v>
      </c>
      <c r="N9" s="22">
        <f t="shared" si="8"/>
        <v>1</v>
      </c>
      <c r="O9" s="22" t="b">
        <f t="shared" si="9"/>
        <v>1</v>
      </c>
      <c r="P9" s="22" t="b">
        <f t="shared" si="10"/>
        <v>1</v>
      </c>
    </row>
    <row r="10" spans="2:19" ht="15" thickBot="1" x14ac:dyDescent="0.35">
      <c r="B10" s="5" t="s">
        <v>7</v>
      </c>
      <c r="C10" s="6">
        <v>8</v>
      </c>
      <c r="D10" s="6">
        <v>130000</v>
      </c>
      <c r="E10" s="7">
        <v>13000</v>
      </c>
      <c r="F10" s="26">
        <f t="shared" si="2"/>
        <v>8</v>
      </c>
      <c r="G10" s="22">
        <f t="shared" si="3"/>
        <v>143000</v>
      </c>
      <c r="H10" s="23">
        <f t="shared" si="4"/>
        <v>0.1</v>
      </c>
      <c r="I10" s="24">
        <f t="shared" si="5"/>
        <v>143000</v>
      </c>
      <c r="J10" s="22" t="b">
        <f t="shared" si="6"/>
        <v>1</v>
      </c>
      <c r="K10" s="22" t="b">
        <f t="shared" si="7"/>
        <v>0</v>
      </c>
      <c r="L10" s="22" t="b">
        <f t="shared" si="0"/>
        <v>1</v>
      </c>
      <c r="M10" s="22" t="b">
        <f t="shared" si="1"/>
        <v>1</v>
      </c>
      <c r="N10" s="22">
        <f t="shared" si="8"/>
        <v>1</v>
      </c>
      <c r="O10" s="22" t="b">
        <f t="shared" si="9"/>
        <v>1</v>
      </c>
      <c r="P10" s="22" t="b">
        <f t="shared" si="10"/>
        <v>1</v>
      </c>
    </row>
    <row r="11" spans="2:19" ht="15" thickBot="1" x14ac:dyDescent="0.35">
      <c r="B11" s="5" t="s">
        <v>8</v>
      </c>
      <c r="C11" s="6">
        <v>3</v>
      </c>
      <c r="D11" s="6">
        <v>140000</v>
      </c>
      <c r="E11" s="7">
        <v>14000</v>
      </c>
      <c r="F11" s="26">
        <f t="shared" si="2"/>
        <v>3</v>
      </c>
      <c r="G11" s="22">
        <f t="shared" si="3"/>
        <v>154000</v>
      </c>
      <c r="H11" s="23">
        <f t="shared" si="4"/>
        <v>0.1</v>
      </c>
      <c r="I11" s="24">
        <f t="shared" si="5"/>
        <v>154000</v>
      </c>
      <c r="J11" s="22" t="b">
        <f t="shared" si="6"/>
        <v>1</v>
      </c>
      <c r="K11" s="22" t="b">
        <f t="shared" si="7"/>
        <v>0</v>
      </c>
      <c r="L11" s="22" t="b">
        <f t="shared" si="0"/>
        <v>0</v>
      </c>
      <c r="M11" s="22" t="b">
        <f t="shared" si="1"/>
        <v>1</v>
      </c>
      <c r="N11" s="22">
        <f t="shared" si="8"/>
        <v>0</v>
      </c>
      <c r="O11" s="22" t="b">
        <f t="shared" si="9"/>
        <v>0</v>
      </c>
      <c r="P11" s="22" t="b">
        <f t="shared" si="10"/>
        <v>0</v>
      </c>
    </row>
    <row r="12" spans="2:19" ht="15" thickBot="1" x14ac:dyDescent="0.35">
      <c r="B12" s="15" t="s">
        <v>9</v>
      </c>
      <c r="C12" s="16">
        <v>5</v>
      </c>
      <c r="D12" s="16">
        <v>115000</v>
      </c>
      <c r="E12" s="17">
        <v>9000</v>
      </c>
      <c r="F12" s="26">
        <f t="shared" si="2"/>
        <v>5</v>
      </c>
      <c r="G12" s="22">
        <f t="shared" si="3"/>
        <v>124000</v>
      </c>
      <c r="H12" s="23">
        <f t="shared" si="4"/>
        <v>7.8260869565217397E-2</v>
      </c>
      <c r="I12" s="24">
        <f t="shared" si="5"/>
        <v>124000</v>
      </c>
      <c r="J12" s="22" t="b">
        <f t="shared" si="6"/>
        <v>1</v>
      </c>
      <c r="K12" s="22" t="b">
        <f t="shared" si="7"/>
        <v>0</v>
      </c>
      <c r="L12" s="22" t="b">
        <f t="shared" si="0"/>
        <v>0</v>
      </c>
      <c r="M12" s="22" t="b">
        <f t="shared" si="1"/>
        <v>1</v>
      </c>
      <c r="N12" s="22">
        <f t="shared" si="8"/>
        <v>0</v>
      </c>
      <c r="O12" s="22" t="b">
        <f t="shared" si="9"/>
        <v>0</v>
      </c>
      <c r="P12" s="22" t="b">
        <f t="shared" si="10"/>
        <v>0</v>
      </c>
    </row>
    <row r="13" spans="2:19" ht="15" thickTop="1" x14ac:dyDescent="0.3">
      <c r="B13" s="29" t="s">
        <v>27</v>
      </c>
      <c r="C13" s="19">
        <f>(C3+C4+C5+C6+C7+C8+C9+C10+C11+C12)/10</f>
        <v>5.3</v>
      </c>
      <c r="D13" s="19">
        <f t="shared" ref="D13:N13" si="11">(D3+D4+D5+D6+D7+D8+D9+D10+D11+D12)/10</f>
        <v>119000</v>
      </c>
      <c r="E13" s="19">
        <f t="shared" si="11"/>
        <v>10400</v>
      </c>
      <c r="F13" s="19">
        <f t="shared" si="11"/>
        <v>5.3</v>
      </c>
      <c r="G13" s="19">
        <f t="shared" si="11"/>
        <v>129400</v>
      </c>
      <c r="H13" s="19">
        <f t="shared" si="11"/>
        <v>8.5565480895915674E-2</v>
      </c>
      <c r="I13" s="19">
        <f t="shared" si="11"/>
        <v>129400</v>
      </c>
      <c r="J13" s="19">
        <f t="shared" si="11"/>
        <v>1</v>
      </c>
      <c r="K13" s="19">
        <f t="shared" si="11"/>
        <v>0</v>
      </c>
      <c r="L13" s="19">
        <f t="shared" si="11"/>
        <v>0.4</v>
      </c>
      <c r="M13" s="19">
        <f t="shared" si="11"/>
        <v>1</v>
      </c>
      <c r="N13" s="19">
        <f t="shared" si="11"/>
        <v>0.4</v>
      </c>
    </row>
    <row r="14" spans="2:19" ht="15" thickBot="1" x14ac:dyDescent="0.35">
      <c r="B14" s="31" t="s">
        <v>28</v>
      </c>
      <c r="C14" s="20">
        <f>AVERAGE(C3:C12)</f>
        <v>5.3</v>
      </c>
      <c r="D14" s="20">
        <f t="shared" ref="D14:N14" si="12">AVERAGE(D3:D12)</f>
        <v>119000</v>
      </c>
      <c r="E14" s="20">
        <f t="shared" si="12"/>
        <v>10400</v>
      </c>
      <c r="F14" s="20">
        <f t="shared" si="12"/>
        <v>5.3</v>
      </c>
      <c r="G14" s="20">
        <f t="shared" si="12"/>
        <v>129400</v>
      </c>
      <c r="H14" s="20">
        <f t="shared" si="12"/>
        <v>8.5565480895915674E-2</v>
      </c>
      <c r="I14" s="20">
        <f t="shared" si="12"/>
        <v>129400</v>
      </c>
      <c r="J14" s="20"/>
      <c r="K14" s="20"/>
      <c r="L14" s="20"/>
      <c r="M14" s="20"/>
      <c r="N14" s="20">
        <f t="shared" si="12"/>
        <v>0.4</v>
      </c>
    </row>
    <row r="15" spans="2:19" ht="15" thickTop="1" x14ac:dyDescent="0.3">
      <c r="B15" s="29" t="s">
        <v>30</v>
      </c>
      <c r="C15" s="19">
        <f>COUNT(C3:C12)</f>
        <v>10</v>
      </c>
      <c r="D15" s="19">
        <f t="shared" ref="D15:E15" si="13">COUNT(D3:D12)</f>
        <v>10</v>
      </c>
      <c r="E15" s="19">
        <f t="shared" si="13"/>
        <v>10</v>
      </c>
    </row>
    <row r="16" spans="2:19" x14ac:dyDescent="0.3">
      <c r="B16" s="33" t="s">
        <v>31</v>
      </c>
      <c r="C16" s="18">
        <f>COUNTIF($C$3:$C$12,"&lt;=5")</f>
        <v>6</v>
      </c>
      <c r="D16" s="18">
        <f>COUNTIF($D$3:$D$12,"&gt;=90000")</f>
        <v>9</v>
      </c>
      <c r="E16" s="34"/>
    </row>
    <row r="17" spans="2:5" ht="15" thickBot="1" x14ac:dyDescent="0.35">
      <c r="B17" s="12" t="s">
        <v>31</v>
      </c>
      <c r="C17" s="18">
        <f>COUNTIF($C$3:$C$12,"&lt;="&amp;S3)</f>
        <v>7</v>
      </c>
      <c r="D17" s="18">
        <f>COUNTIF($D$3:$D$12,"&gt;="&amp;S4)</f>
        <v>10</v>
      </c>
      <c r="E17" s="3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23364-12D3-4C3A-8A6B-C3645EBFE927}">
  <dimension ref="B1:S17"/>
  <sheetViews>
    <sheetView zoomScale="120" zoomScaleNormal="120" workbookViewId="0">
      <selection activeCell="C13" sqref="C13"/>
    </sheetView>
  </sheetViews>
  <sheetFormatPr defaultColWidth="9" defaultRowHeight="14.4" x14ac:dyDescent="0.3"/>
  <cols>
    <col min="1" max="1" width="5.109375" style="1" customWidth="1"/>
    <col min="2" max="2" width="22.6640625" style="1" bestFit="1" customWidth="1"/>
    <col min="3" max="3" width="10.44140625" style="1" customWidth="1"/>
    <col min="4" max="4" width="12.21875" style="1" customWidth="1"/>
    <col min="5" max="5" width="11.5546875" style="1" customWidth="1"/>
    <col min="6" max="6" width="10.5546875" style="1" hidden="1" customWidth="1"/>
    <col min="7" max="7" width="9" style="1" hidden="1" customWidth="1"/>
    <col min="8" max="9" width="11" style="1" hidden="1" customWidth="1"/>
    <col min="10" max="10" width="17.21875" style="1" hidden="1" customWidth="1"/>
    <col min="11" max="11" width="14.21875" style="1" hidden="1" customWidth="1"/>
    <col min="12" max="12" width="10.109375" style="1" hidden="1" customWidth="1"/>
    <col min="13" max="13" width="9" style="1" hidden="1" customWidth="1"/>
    <col min="14" max="14" width="10.44140625" style="1" hidden="1" customWidth="1"/>
    <col min="15" max="15" width="14.109375" style="1" customWidth="1"/>
    <col min="16" max="16" width="11.88671875" style="1" customWidth="1"/>
    <col min="17" max="17" width="9" style="1"/>
    <col min="18" max="18" width="14" style="1" bestFit="1" customWidth="1"/>
    <col min="19" max="16384" width="9" style="1"/>
  </cols>
  <sheetData>
    <row r="1" spans="2:19" ht="15" thickBot="1" x14ac:dyDescent="0.35">
      <c r="G1" s="28"/>
    </row>
    <row r="2" spans="2:19" s="8" customFormat="1" ht="27.75" customHeight="1" thickBot="1" x14ac:dyDescent="0.35">
      <c r="B2" s="2" t="s">
        <v>10</v>
      </c>
      <c r="C2" s="3" t="s">
        <v>12</v>
      </c>
      <c r="D2" s="3" t="s">
        <v>11</v>
      </c>
      <c r="E2" s="4" t="s">
        <v>13</v>
      </c>
      <c r="F2" s="25" t="s">
        <v>15</v>
      </c>
      <c r="G2" s="27" t="s">
        <v>14</v>
      </c>
      <c r="H2" s="21" t="s">
        <v>16</v>
      </c>
      <c r="I2" s="21" t="s">
        <v>17</v>
      </c>
      <c r="J2" s="21" t="s">
        <v>19</v>
      </c>
      <c r="K2" s="21" t="s">
        <v>18</v>
      </c>
      <c r="L2" s="21" t="s">
        <v>21</v>
      </c>
      <c r="M2" s="21" t="s">
        <v>20</v>
      </c>
      <c r="N2" s="21" t="s">
        <v>25</v>
      </c>
      <c r="O2" s="21" t="s">
        <v>29</v>
      </c>
      <c r="P2" s="21" t="s">
        <v>26</v>
      </c>
      <c r="R2" s="14" t="s">
        <v>24</v>
      </c>
      <c r="S2" s="1"/>
    </row>
    <row r="3" spans="2:19" ht="15" thickBot="1" x14ac:dyDescent="0.35">
      <c r="B3" s="5" t="s">
        <v>0</v>
      </c>
      <c r="C3" s="6">
        <v>5</v>
      </c>
      <c r="D3" s="6">
        <v>120000</v>
      </c>
      <c r="E3" s="7">
        <v>10000</v>
      </c>
      <c r="F3" s="26">
        <f>C3</f>
        <v>5</v>
      </c>
      <c r="G3" s="22">
        <f>D3+E3</f>
        <v>130000</v>
      </c>
      <c r="H3" s="23">
        <f>E3/D3</f>
        <v>8.3333333333333329E-2</v>
      </c>
      <c r="I3" s="24">
        <f>D3+D3*H3</f>
        <v>130000</v>
      </c>
      <c r="J3" s="22" t="b">
        <f>G3=I3</f>
        <v>1</v>
      </c>
      <c r="K3" s="22" t="b">
        <f>E3&gt;D3</f>
        <v>0</v>
      </c>
      <c r="L3" s="22" t="b">
        <f t="shared" ref="L3:L12" si="0">$S$3&lt;=C3</f>
        <v>1</v>
      </c>
      <c r="M3" s="22" t="b">
        <f t="shared" ref="M3:M12" si="1">$G3&gt;=$S$4</f>
        <v>1</v>
      </c>
      <c r="N3" s="22">
        <f>L3*M3</f>
        <v>1</v>
      </c>
      <c r="O3" s="22" t="b">
        <f>L3*M3=1</f>
        <v>1</v>
      </c>
      <c r="P3" s="22" t="b">
        <f>AND(L3,M3)</f>
        <v>1</v>
      </c>
      <c r="R3" s="10" t="s">
        <v>22</v>
      </c>
      <c r="S3" s="11">
        <v>5</v>
      </c>
    </row>
    <row r="4" spans="2:19" ht="15" thickBot="1" x14ac:dyDescent="0.35">
      <c r="B4" s="5" t="s">
        <v>1</v>
      </c>
      <c r="C4" s="6">
        <v>4</v>
      </c>
      <c r="D4" s="6">
        <v>135000</v>
      </c>
      <c r="E4" s="7">
        <v>12000</v>
      </c>
      <c r="F4" s="26">
        <f t="shared" ref="F4:F12" si="2">C4</f>
        <v>4</v>
      </c>
      <c r="G4" s="22">
        <f t="shared" ref="G4:G12" si="3">D4+E4</f>
        <v>147000</v>
      </c>
      <c r="H4" s="23">
        <f t="shared" ref="H4:H12" si="4">E4/D4</f>
        <v>8.8888888888888892E-2</v>
      </c>
      <c r="I4" s="24">
        <f t="shared" ref="I4:I12" si="5">D4+D4*H4</f>
        <v>147000</v>
      </c>
      <c r="J4" s="22" t="b">
        <f t="shared" ref="J4:J12" si="6">G4=I4</f>
        <v>1</v>
      </c>
      <c r="K4" s="22" t="b">
        <f t="shared" ref="K4:K12" si="7">E4&gt;D4</f>
        <v>0</v>
      </c>
      <c r="L4" s="22" t="b">
        <f t="shared" si="0"/>
        <v>0</v>
      </c>
      <c r="M4" s="22" t="b">
        <f t="shared" si="1"/>
        <v>1</v>
      </c>
      <c r="N4" s="22">
        <f t="shared" ref="N4:N12" si="8">L4*M4</f>
        <v>0</v>
      </c>
      <c r="O4" s="22" t="b">
        <f t="shared" ref="O4:O12" si="9">L4*M4=1</f>
        <v>0</v>
      </c>
      <c r="P4" s="22" t="b">
        <f t="shared" ref="P4:P12" si="10">AND(L4,M4)</f>
        <v>0</v>
      </c>
      <c r="R4" s="12" t="s">
        <v>23</v>
      </c>
      <c r="S4" s="13">
        <v>90000</v>
      </c>
    </row>
    <row r="5" spans="2:19" ht="15" thickBot="1" x14ac:dyDescent="0.35">
      <c r="B5" s="5" t="s">
        <v>2</v>
      </c>
      <c r="C5" s="6">
        <v>2</v>
      </c>
      <c r="D5" s="6">
        <v>75000</v>
      </c>
      <c r="E5" s="7">
        <v>5000</v>
      </c>
      <c r="F5" s="26">
        <f t="shared" si="2"/>
        <v>2</v>
      </c>
      <c r="G5" s="22">
        <f t="shared" si="3"/>
        <v>80000</v>
      </c>
      <c r="H5" s="23">
        <f t="shared" si="4"/>
        <v>6.6666666666666666E-2</v>
      </c>
      <c r="I5" s="24">
        <f t="shared" si="5"/>
        <v>80000</v>
      </c>
      <c r="J5" s="22" t="b">
        <f t="shared" si="6"/>
        <v>1</v>
      </c>
      <c r="K5" s="22" t="b">
        <f t="shared" si="7"/>
        <v>0</v>
      </c>
      <c r="L5" s="22" t="b">
        <f t="shared" si="0"/>
        <v>0</v>
      </c>
      <c r="M5" s="22" t="b">
        <f t="shared" si="1"/>
        <v>0</v>
      </c>
      <c r="N5" s="22">
        <f t="shared" si="8"/>
        <v>0</v>
      </c>
      <c r="O5" s="22" t="b">
        <f t="shared" si="9"/>
        <v>0</v>
      </c>
      <c r="P5" s="22" t="b">
        <f t="shared" si="10"/>
        <v>0</v>
      </c>
    </row>
    <row r="6" spans="2:19" ht="15" thickBot="1" x14ac:dyDescent="0.35">
      <c r="B6" s="5" t="s">
        <v>3</v>
      </c>
      <c r="C6" s="6">
        <v>6</v>
      </c>
      <c r="D6" s="6">
        <v>110000</v>
      </c>
      <c r="E6" s="7">
        <v>8000</v>
      </c>
      <c r="F6" s="26">
        <f t="shared" si="2"/>
        <v>6</v>
      </c>
      <c r="G6" s="22">
        <f t="shared" si="3"/>
        <v>118000</v>
      </c>
      <c r="H6" s="23">
        <f t="shared" si="4"/>
        <v>7.2727272727272724E-2</v>
      </c>
      <c r="I6" s="24">
        <f t="shared" si="5"/>
        <v>118000</v>
      </c>
      <c r="J6" s="22" t="b">
        <f t="shared" si="6"/>
        <v>1</v>
      </c>
      <c r="K6" s="22" t="b">
        <f t="shared" si="7"/>
        <v>0</v>
      </c>
      <c r="L6" s="22" t="b">
        <f t="shared" si="0"/>
        <v>1</v>
      </c>
      <c r="M6" s="22" t="b">
        <f t="shared" si="1"/>
        <v>1</v>
      </c>
      <c r="N6" s="22">
        <f t="shared" si="8"/>
        <v>1</v>
      </c>
      <c r="O6" s="22" t="b">
        <f t="shared" si="9"/>
        <v>1</v>
      </c>
      <c r="P6" s="22" t="b">
        <f t="shared" si="10"/>
        <v>1</v>
      </c>
    </row>
    <row r="7" spans="2:19" ht="15" thickBot="1" x14ac:dyDescent="0.35">
      <c r="B7" s="5" t="s">
        <v>4</v>
      </c>
      <c r="C7" s="6">
        <v>3</v>
      </c>
      <c r="D7" s="6">
        <v>125000</v>
      </c>
      <c r="E7" s="7">
        <v>11000</v>
      </c>
      <c r="F7" s="26">
        <f t="shared" si="2"/>
        <v>3</v>
      </c>
      <c r="G7" s="22">
        <f t="shared" si="3"/>
        <v>136000</v>
      </c>
      <c r="H7" s="23">
        <f t="shared" si="4"/>
        <v>8.7999999999999995E-2</v>
      </c>
      <c r="I7" s="24">
        <f t="shared" si="5"/>
        <v>136000</v>
      </c>
      <c r="J7" s="22" t="b">
        <f t="shared" si="6"/>
        <v>1</v>
      </c>
      <c r="K7" s="22" t="b">
        <f t="shared" si="7"/>
        <v>0</v>
      </c>
      <c r="L7" s="22" t="b">
        <f t="shared" si="0"/>
        <v>0</v>
      </c>
      <c r="M7" s="22" t="b">
        <f t="shared" si="1"/>
        <v>1</v>
      </c>
      <c r="N7" s="22">
        <f t="shared" si="8"/>
        <v>0</v>
      </c>
      <c r="O7" s="22" t="b">
        <f t="shared" si="9"/>
        <v>0</v>
      </c>
      <c r="P7" s="22" t="b">
        <f t="shared" si="10"/>
        <v>0</v>
      </c>
    </row>
    <row r="8" spans="2:19" ht="15" thickBot="1" x14ac:dyDescent="0.35">
      <c r="B8" s="5" t="s">
        <v>5</v>
      </c>
      <c r="C8" s="6">
        <v>7</v>
      </c>
      <c r="D8" s="6">
        <v>90000</v>
      </c>
      <c r="E8" s="7">
        <v>7000</v>
      </c>
      <c r="F8" s="26">
        <f t="shared" si="2"/>
        <v>7</v>
      </c>
      <c r="G8" s="22">
        <f t="shared" si="3"/>
        <v>97000</v>
      </c>
      <c r="H8" s="23">
        <f t="shared" si="4"/>
        <v>7.7777777777777779E-2</v>
      </c>
      <c r="I8" s="24">
        <f t="shared" si="5"/>
        <v>97000</v>
      </c>
      <c r="J8" s="22" t="b">
        <f t="shared" si="6"/>
        <v>1</v>
      </c>
      <c r="K8" s="22" t="b">
        <f t="shared" si="7"/>
        <v>0</v>
      </c>
      <c r="L8" s="22" t="b">
        <f t="shared" si="0"/>
        <v>1</v>
      </c>
      <c r="M8" s="22" t="b">
        <f t="shared" si="1"/>
        <v>1</v>
      </c>
      <c r="N8" s="22">
        <f t="shared" si="8"/>
        <v>1</v>
      </c>
      <c r="O8" s="22" t="b">
        <f t="shared" si="9"/>
        <v>1</v>
      </c>
      <c r="P8" s="22" t="b">
        <f t="shared" si="10"/>
        <v>1</v>
      </c>
    </row>
    <row r="9" spans="2:19" ht="15" thickBot="1" x14ac:dyDescent="0.35">
      <c r="B9" s="5" t="s">
        <v>6</v>
      </c>
      <c r="C9" s="6">
        <v>10</v>
      </c>
      <c r="D9" s="6">
        <v>150000</v>
      </c>
      <c r="E9" s="7">
        <v>15000</v>
      </c>
      <c r="F9" s="26">
        <f t="shared" si="2"/>
        <v>10</v>
      </c>
      <c r="G9" s="22">
        <f t="shared" si="3"/>
        <v>165000</v>
      </c>
      <c r="H9" s="23">
        <f t="shared" si="4"/>
        <v>0.1</v>
      </c>
      <c r="I9" s="24">
        <f t="shared" si="5"/>
        <v>165000</v>
      </c>
      <c r="J9" s="22" t="b">
        <f t="shared" si="6"/>
        <v>1</v>
      </c>
      <c r="K9" s="22" t="b">
        <f t="shared" si="7"/>
        <v>0</v>
      </c>
      <c r="L9" s="22" t="b">
        <f t="shared" si="0"/>
        <v>1</v>
      </c>
      <c r="M9" s="22" t="b">
        <f t="shared" si="1"/>
        <v>1</v>
      </c>
      <c r="N9" s="22">
        <f t="shared" si="8"/>
        <v>1</v>
      </c>
      <c r="O9" s="22" t="b">
        <f t="shared" si="9"/>
        <v>1</v>
      </c>
      <c r="P9" s="22" t="b">
        <f t="shared" si="10"/>
        <v>1</v>
      </c>
    </row>
    <row r="10" spans="2:19" ht="15" thickBot="1" x14ac:dyDescent="0.35">
      <c r="B10" s="5" t="s">
        <v>7</v>
      </c>
      <c r="C10" s="6">
        <v>8</v>
      </c>
      <c r="D10" s="6">
        <v>130000</v>
      </c>
      <c r="E10" s="7">
        <v>13000</v>
      </c>
      <c r="F10" s="26">
        <f t="shared" si="2"/>
        <v>8</v>
      </c>
      <c r="G10" s="22">
        <f t="shared" si="3"/>
        <v>143000</v>
      </c>
      <c r="H10" s="23">
        <f t="shared" si="4"/>
        <v>0.1</v>
      </c>
      <c r="I10" s="24">
        <f t="shared" si="5"/>
        <v>143000</v>
      </c>
      <c r="J10" s="22" t="b">
        <f t="shared" si="6"/>
        <v>1</v>
      </c>
      <c r="K10" s="22" t="b">
        <f t="shared" si="7"/>
        <v>0</v>
      </c>
      <c r="L10" s="22" t="b">
        <f t="shared" si="0"/>
        <v>1</v>
      </c>
      <c r="M10" s="22" t="b">
        <f t="shared" si="1"/>
        <v>1</v>
      </c>
      <c r="N10" s="22">
        <f t="shared" si="8"/>
        <v>1</v>
      </c>
      <c r="O10" s="22" t="b">
        <f t="shared" si="9"/>
        <v>1</v>
      </c>
      <c r="P10" s="22" t="b">
        <f t="shared" si="10"/>
        <v>1</v>
      </c>
    </row>
    <row r="11" spans="2:19" ht="15" thickBot="1" x14ac:dyDescent="0.35">
      <c r="B11" s="5" t="s">
        <v>8</v>
      </c>
      <c r="C11" s="6">
        <v>3</v>
      </c>
      <c r="D11" s="6">
        <v>140000</v>
      </c>
      <c r="E11" s="7">
        <v>14000</v>
      </c>
      <c r="F11" s="26">
        <f t="shared" si="2"/>
        <v>3</v>
      </c>
      <c r="G11" s="22">
        <f t="shared" si="3"/>
        <v>154000</v>
      </c>
      <c r="H11" s="23">
        <f t="shared" si="4"/>
        <v>0.1</v>
      </c>
      <c r="I11" s="24">
        <f t="shared" si="5"/>
        <v>154000</v>
      </c>
      <c r="J11" s="22" t="b">
        <f t="shared" si="6"/>
        <v>1</v>
      </c>
      <c r="K11" s="22" t="b">
        <f t="shared" si="7"/>
        <v>0</v>
      </c>
      <c r="L11" s="22" t="b">
        <f t="shared" si="0"/>
        <v>0</v>
      </c>
      <c r="M11" s="22" t="b">
        <f t="shared" si="1"/>
        <v>1</v>
      </c>
      <c r="N11" s="22">
        <f t="shared" si="8"/>
        <v>0</v>
      </c>
      <c r="O11" s="22" t="b">
        <f t="shared" si="9"/>
        <v>0</v>
      </c>
      <c r="P11" s="22" t="b">
        <f t="shared" si="10"/>
        <v>0</v>
      </c>
    </row>
    <row r="12" spans="2:19" ht="15" thickBot="1" x14ac:dyDescent="0.35">
      <c r="B12" s="15" t="s">
        <v>9</v>
      </c>
      <c r="C12" s="16">
        <v>5</v>
      </c>
      <c r="D12" s="16">
        <v>115000</v>
      </c>
      <c r="E12" s="17">
        <v>9000</v>
      </c>
      <c r="F12" s="26">
        <f t="shared" si="2"/>
        <v>5</v>
      </c>
      <c r="G12" s="22">
        <f t="shared" si="3"/>
        <v>124000</v>
      </c>
      <c r="H12" s="23">
        <f t="shared" si="4"/>
        <v>7.8260869565217397E-2</v>
      </c>
      <c r="I12" s="24">
        <f t="shared" si="5"/>
        <v>124000</v>
      </c>
      <c r="J12" s="22" t="b">
        <f t="shared" si="6"/>
        <v>1</v>
      </c>
      <c r="K12" s="22" t="b">
        <f t="shared" si="7"/>
        <v>0</v>
      </c>
      <c r="L12" s="22" t="b">
        <f t="shared" si="0"/>
        <v>1</v>
      </c>
      <c r="M12" s="22" t="b">
        <f t="shared" si="1"/>
        <v>1</v>
      </c>
      <c r="N12" s="22">
        <f t="shared" si="8"/>
        <v>1</v>
      </c>
      <c r="O12" s="22" t="b">
        <f t="shared" si="9"/>
        <v>1</v>
      </c>
      <c r="P12" s="22" t="b">
        <f t="shared" si="10"/>
        <v>1</v>
      </c>
    </row>
    <row r="13" spans="2:19" ht="15" thickTop="1" x14ac:dyDescent="0.3">
      <c r="B13" s="29" t="s">
        <v>27</v>
      </c>
      <c r="C13" s="19">
        <f>(C3+C4+C5+C6+C7+C8+C9+C10+C11+C12)/10</f>
        <v>5.3</v>
      </c>
      <c r="D13" s="19">
        <f t="shared" ref="D13:E13" si="11">(D3+D4+D5+D6+D7+D8+D9+D10+D11+D12)/10</f>
        <v>119000</v>
      </c>
      <c r="E13" s="30">
        <f t="shared" si="11"/>
        <v>10400</v>
      </c>
    </row>
    <row r="14" spans="2:19" ht="15" thickBot="1" x14ac:dyDescent="0.35">
      <c r="B14" s="31" t="s">
        <v>28</v>
      </c>
      <c r="C14" s="20">
        <f>AVERAGE(C3:C12)</f>
        <v>5.3</v>
      </c>
      <c r="D14" s="20">
        <f t="shared" ref="D14:F14" si="12">AVERAGE(D3:D12)</f>
        <v>119000</v>
      </c>
      <c r="E14" s="32">
        <f t="shared" si="12"/>
        <v>10400</v>
      </c>
      <c r="F14" s="1">
        <f t="shared" si="12"/>
        <v>5.3</v>
      </c>
    </row>
    <row r="15" spans="2:19" ht="15" thickTop="1" x14ac:dyDescent="0.3">
      <c r="B15" s="29" t="s">
        <v>30</v>
      </c>
      <c r="C15" s="19">
        <f>COUNT(C3:C12)</f>
        <v>10</v>
      </c>
      <c r="D15" s="19">
        <f t="shared" ref="D15:E15" si="13">COUNT(D3:D12)</f>
        <v>10</v>
      </c>
      <c r="E15" s="30">
        <f t="shared" si="13"/>
        <v>10</v>
      </c>
    </row>
    <row r="16" spans="2:19" x14ac:dyDescent="0.3">
      <c r="B16" s="33" t="s">
        <v>31</v>
      </c>
      <c r="C16" s="18">
        <f>COUNTIF($C$3:$C$12, "&lt;=5")</f>
        <v>6</v>
      </c>
      <c r="D16" s="18">
        <f>COUNTIF($D$3:$D$12, "&gt;=90000")</f>
        <v>9</v>
      </c>
      <c r="E16" s="34"/>
    </row>
    <row r="17" spans="2:5" ht="15" thickBot="1" x14ac:dyDescent="0.35">
      <c r="B17" s="12" t="s">
        <v>31</v>
      </c>
      <c r="C17" s="35">
        <f>COUNTIF($C$3:$C$12, "&lt;=" &amp; S3)</f>
        <v>6</v>
      </c>
      <c r="D17" s="35">
        <f>COUNTIF($D$3:$D$12, "&gt;=" &amp; S4)</f>
        <v>9</v>
      </c>
      <c r="E17" s="3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BE098-CD97-45AE-AE7E-86DF2D94E426}">
  <dimension ref="B2:D9"/>
  <sheetViews>
    <sheetView tabSelected="1" zoomScale="140" zoomScaleNormal="140" workbookViewId="0">
      <selection activeCell="D11" sqref="D11"/>
    </sheetView>
  </sheetViews>
  <sheetFormatPr defaultRowHeight="14.4" x14ac:dyDescent="0.3"/>
  <cols>
    <col min="1" max="1" width="2.109375" customWidth="1"/>
    <col min="2" max="2" width="13.44140625" customWidth="1"/>
    <col min="3" max="3" width="31.44140625" bestFit="1" customWidth="1"/>
    <col min="4" max="4" width="60.44140625" bestFit="1" customWidth="1"/>
  </cols>
  <sheetData>
    <row r="2" spans="2:4" x14ac:dyDescent="0.3">
      <c r="B2" s="37" t="s">
        <v>32</v>
      </c>
      <c r="C2" s="37" t="s">
        <v>40</v>
      </c>
      <c r="D2" s="37" t="s">
        <v>33</v>
      </c>
    </row>
    <row r="3" spans="2:4" x14ac:dyDescent="0.3">
      <c r="B3" s="38" t="e">
        <f>1/0</f>
        <v>#DIV/0!</v>
      </c>
      <c r="C3" s="39" t="s">
        <v>41</v>
      </c>
      <c r="D3" s="38" t="s">
        <v>34</v>
      </c>
    </row>
    <row r="4" spans="2:4" x14ac:dyDescent="0.3">
      <c r="B4" s="38" t="e">
        <f>A4 + "text"</f>
        <v>#VALUE!</v>
      </c>
      <c r="C4" s="39" t="s">
        <v>42</v>
      </c>
      <c r="D4" s="38" t="s">
        <v>35</v>
      </c>
    </row>
    <row r="5" spans="2:4" x14ac:dyDescent="0.3">
      <c r="B5" s="9" t="e">
        <f>#REF!</f>
        <v>#REF!</v>
      </c>
      <c r="C5" s="39" t="s">
        <v>43</v>
      </c>
      <c r="D5" s="38" t="s">
        <v>48</v>
      </c>
    </row>
    <row r="6" spans="2:4" x14ac:dyDescent="0.3">
      <c r="B6" s="9" t="e" cm="1">
        <f t="array" aca="1" ref="B6" ca="1">COUNTT(A3:A9)</f>
        <v>#NAME?</v>
      </c>
      <c r="C6" s="39" t="s">
        <v>47</v>
      </c>
      <c r="D6" s="38" t="s">
        <v>36</v>
      </c>
    </row>
    <row r="7" spans="2:4" x14ac:dyDescent="0.3">
      <c r="B7" s="38" t="e">
        <f>VLOOKUP("Value", A1:A10, 2, FALSE)</f>
        <v>#N/A</v>
      </c>
      <c r="C7" s="39" t="s">
        <v>46</v>
      </c>
      <c r="D7" s="38" t="s">
        <v>37</v>
      </c>
    </row>
    <row r="8" spans="2:4" x14ac:dyDescent="0.3">
      <c r="B8" s="38" t="e">
        <f>SQRT(-1)</f>
        <v>#NUM!</v>
      </c>
      <c r="C8" s="39" t="s">
        <v>44</v>
      </c>
      <c r="D8" s="38" t="s">
        <v>38</v>
      </c>
    </row>
    <row r="9" spans="2:4" x14ac:dyDescent="0.3">
      <c r="B9" s="38" t="e">
        <f>SUM(A1:A10 C1:C10)</f>
        <v>#NULL!</v>
      </c>
      <c r="C9" s="39" t="s">
        <v>45</v>
      </c>
      <c r="D9" s="38" t="s">
        <v>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Final</vt:lpstr>
      <vt:lpstr>Errors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Barousse</dc:creator>
  <cp:lastModifiedBy>Vishesh Bajaj</cp:lastModifiedBy>
  <dcterms:created xsi:type="dcterms:W3CDTF">2024-07-16T20:11:02Z</dcterms:created>
  <dcterms:modified xsi:type="dcterms:W3CDTF">2026-07-06T12:01:19Z</dcterms:modified>
</cp:coreProperties>
</file>