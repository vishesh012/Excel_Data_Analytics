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DataAnalytics\Excel_Data_Analytics\2_Formulas_Functions\"/>
    </mc:Choice>
  </mc:AlternateContent>
  <xr:revisionPtr revIDLastSave="0" documentId="13_ncr:1_{E9544A84-EC75-4123-A256-EB1B137972FE}" xr6:coauthVersionLast="47" xr6:coauthVersionMax="47" xr10:uidLastSave="{00000000-0000-0000-0000-000000000000}"/>
  <bookViews>
    <workbookView xWindow="-108" yWindow="-108" windowWidth="23256" windowHeight="12456" activeTab="2" xr2:uid="{8CC555B5-3E06-43B6-9E5B-C0A1D3498DA4}"/>
  </bookViews>
  <sheets>
    <sheet name="Data" sheetId="9" r:id="rId1"/>
    <sheet name="Final" sheetId="7" r:id="rId2"/>
    <sheet name="Error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9" l="1"/>
  <c r="D17" i="9"/>
  <c r="C16" i="9"/>
  <c r="D16" i="9"/>
  <c r="D15" i="9"/>
  <c r="E15" i="9"/>
  <c r="C15" i="9"/>
  <c r="D14" i="9"/>
  <c r="E14" i="9"/>
  <c r="F14" i="9"/>
  <c r="G14" i="9"/>
  <c r="H14" i="9"/>
  <c r="I14" i="9"/>
  <c r="C14" i="9"/>
  <c r="D13" i="9"/>
  <c r="E13" i="9"/>
  <c r="F13" i="9"/>
  <c r="G13" i="9"/>
  <c r="H13" i="9"/>
  <c r="I13" i="9"/>
  <c r="J13" i="9"/>
  <c r="K13" i="9"/>
  <c r="C13" i="9"/>
  <c r="L12" i="9"/>
  <c r="K12" i="9"/>
  <c r="H12" i="9"/>
  <c r="I12" i="9" s="1"/>
  <c r="G12" i="9"/>
  <c r="F12" i="9"/>
  <c r="L11" i="9"/>
  <c r="K11" i="9"/>
  <c r="H11" i="9"/>
  <c r="I11" i="9" s="1"/>
  <c r="G11" i="9"/>
  <c r="F11" i="9"/>
  <c r="L10" i="9"/>
  <c r="K10" i="9"/>
  <c r="H10" i="9"/>
  <c r="I10" i="9" s="1"/>
  <c r="G10" i="9"/>
  <c r="F10" i="9"/>
  <c r="L9" i="9"/>
  <c r="K9" i="9"/>
  <c r="H9" i="9"/>
  <c r="I9" i="9" s="1"/>
  <c r="G9" i="9"/>
  <c r="F9" i="9"/>
  <c r="L8" i="9"/>
  <c r="K8" i="9"/>
  <c r="H8" i="9"/>
  <c r="I8" i="9" s="1"/>
  <c r="G8" i="9"/>
  <c r="F8" i="9"/>
  <c r="M7" i="9"/>
  <c r="P7" i="9" s="1"/>
  <c r="L7" i="9"/>
  <c r="K7" i="9"/>
  <c r="I7" i="9"/>
  <c r="J7" i="9" s="1"/>
  <c r="H7" i="9"/>
  <c r="G7" i="9"/>
  <c r="F7" i="9"/>
  <c r="L6" i="9"/>
  <c r="K6" i="9"/>
  <c r="H6" i="9"/>
  <c r="I6" i="9" s="1"/>
  <c r="G6" i="9"/>
  <c r="F6" i="9"/>
  <c r="L5" i="9"/>
  <c r="K5" i="9"/>
  <c r="H5" i="9"/>
  <c r="I5" i="9" s="1"/>
  <c r="G5" i="9"/>
  <c r="F5" i="9"/>
  <c r="L4" i="9"/>
  <c r="K4" i="9"/>
  <c r="H4" i="9"/>
  <c r="I4" i="9" s="1"/>
  <c r="G4" i="9"/>
  <c r="F4" i="9"/>
  <c r="L3" i="9"/>
  <c r="K3" i="9"/>
  <c r="H3" i="9"/>
  <c r="I3" i="9" s="1"/>
  <c r="G3" i="9"/>
  <c r="F3" i="9"/>
  <c r="B9" i="8"/>
  <c r="B4" i="8"/>
  <c r="B6" i="8" a="1"/>
  <c r="B7" i="8"/>
  <c r="B5" i="8"/>
  <c r="B8" i="8"/>
  <c r="B3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L13" i="9" l="1"/>
  <c r="M12" i="9"/>
  <c r="P12" i="9" s="1"/>
  <c r="J12" i="9"/>
  <c r="J11" i="9"/>
  <c r="M11" i="9"/>
  <c r="P11" i="9" s="1"/>
  <c r="M10" i="9"/>
  <c r="P10" i="9" s="1"/>
  <c r="J10" i="9"/>
  <c r="J9" i="9"/>
  <c r="M9" i="9"/>
  <c r="P9" i="9" s="1"/>
  <c r="J8" i="9"/>
  <c r="M8" i="9"/>
  <c r="O7" i="9"/>
  <c r="N7" i="9"/>
  <c r="J6" i="9"/>
  <c r="M6" i="9"/>
  <c r="P6" i="9" s="1"/>
  <c r="J5" i="9"/>
  <c r="M5" i="9"/>
  <c r="P5" i="9" s="1"/>
  <c r="J4" i="9"/>
  <c r="M4" i="9"/>
  <c r="P4" i="9" s="1"/>
  <c r="M3" i="9"/>
  <c r="J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N8" i="9" l="1"/>
  <c r="O8" i="9"/>
  <c r="P8" i="9"/>
  <c r="P3" i="9"/>
  <c r="M13" i="9"/>
  <c r="N10" i="9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  <c r="O10" i="7"/>
  <c r="N10" i="7"/>
  <c r="O4" i="7"/>
  <c r="N4" i="7"/>
  <c r="N14" i="9" l="1"/>
  <c r="N13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<sst xmlns="http://schemas.openxmlformats.org/spreadsheetml/2006/main" count="83" uniqueCount="49">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</sst>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S17"/>
  <sheetViews>
    <sheetView zoomScale="120" zoomScaleNormal="120" workbookViewId="0">
      <selection activeCell="J15" sqref="J15"/>
    </sheetView>
  </sheetViews>
  <sheetFormatPr defaultColWidth="9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customWidth="1"/>
    <col min="7" max="7" width="9" style="1" customWidth="1"/>
    <col min="8" max="9" width="11" style="1" customWidth="1"/>
    <col min="10" max="10" width="17.21875" style="1" customWidth="1"/>
    <col min="11" max="11" width="14.21875" style="1" customWidth="1"/>
    <col min="12" max="12" width="10.109375" style="1" customWidth="1"/>
    <col min="13" max="13" width="9" style="1" customWidth="1"/>
    <col min="14" max="14" width="10.44140625" style="1" customWidth="1"/>
    <col min="15" max="15" width="14.109375" style="1" customWidth="1"/>
    <col min="16" max="16" width="11.8867187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 x14ac:dyDescent="0.35">
      <c r="G1" s="28"/>
    </row>
    <row r="2" spans="2:19" s="8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0</v>
      </c>
      <c r="M3" s="22" t="b">
        <f t="shared" ref="M3:M12" si="1">$G3&gt;=$S$4</f>
        <v>1</v>
      </c>
      <c r="N3" s="22">
        <f>L3*M3</f>
        <v>0</v>
      </c>
      <c r="O3" s="22" t="b">
        <f>L3*M3=1</f>
        <v>0</v>
      </c>
      <c r="P3" s="22" t="b">
        <f>AND(L3,M3)</f>
        <v>0</v>
      </c>
      <c r="R3" s="10" t="s">
        <v>22</v>
      </c>
      <c r="S3" s="11">
        <v>6</v>
      </c>
    </row>
    <row r="4" spans="2:19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60000</v>
      </c>
    </row>
    <row r="5" spans="2:19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1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" thickBot="1" x14ac:dyDescent="0.35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0</v>
      </c>
      <c r="M12" s="22" t="b">
        <f t="shared" si="1"/>
        <v>1</v>
      </c>
      <c r="N12" s="22">
        <f t="shared" si="8"/>
        <v>0</v>
      </c>
      <c r="O12" s="22" t="b">
        <f t="shared" si="9"/>
        <v>0</v>
      </c>
      <c r="P12" s="22" t="b">
        <f t="shared" si="10"/>
        <v>0</v>
      </c>
    </row>
    <row r="13" spans="2:19" ht="15" thickTop="1" x14ac:dyDescent="0.3">
      <c r="B13" s="29" t="s">
        <v>27</v>
      </c>
      <c r="C13" s="19">
        <f>(C3+C4+C5+C6+C7+C8+C9+C10+C11+C12)/10</f>
        <v>5.3</v>
      </c>
      <c r="D13" s="19">
        <f t="shared" ref="D13:N13" si="11">(D3+D4+D5+D6+D7+D8+D9+D10+D11+D12)/10</f>
        <v>119000</v>
      </c>
      <c r="E13" s="19">
        <f t="shared" si="11"/>
        <v>10400</v>
      </c>
      <c r="F13" s="19">
        <f t="shared" si="11"/>
        <v>5.3</v>
      </c>
      <c r="G13" s="19">
        <f t="shared" si="11"/>
        <v>129400</v>
      </c>
      <c r="H13" s="19">
        <f t="shared" si="11"/>
        <v>8.5565480895915674E-2</v>
      </c>
      <c r="I13" s="19">
        <f t="shared" si="11"/>
        <v>129400</v>
      </c>
      <c r="J13" s="19">
        <f t="shared" si="11"/>
        <v>1</v>
      </c>
      <c r="K13" s="19">
        <f t="shared" si="11"/>
        <v>0</v>
      </c>
      <c r="L13" s="19">
        <f t="shared" si="11"/>
        <v>0.4</v>
      </c>
      <c r="M13" s="19">
        <f t="shared" si="11"/>
        <v>1</v>
      </c>
      <c r="N13" s="19">
        <f t="shared" si="11"/>
        <v>0.4</v>
      </c>
    </row>
    <row r="14" spans="2:19" ht="15" thickBot="1" x14ac:dyDescent="0.35">
      <c r="B14" s="31" t="s">
        <v>28</v>
      </c>
      <c r="C14" s="20">
        <f>AVERAGE(C3:C12)</f>
        <v>5.3</v>
      </c>
      <c r="D14" s="20">
        <f t="shared" ref="D14:N14" si="12">AVERAGE(D3:D12)</f>
        <v>119000</v>
      </c>
      <c r="E14" s="20">
        <f t="shared" si="12"/>
        <v>10400</v>
      </c>
      <c r="F14" s="20">
        <f t="shared" si="12"/>
        <v>5.3</v>
      </c>
      <c r="G14" s="20">
        <f t="shared" si="12"/>
        <v>129400</v>
      </c>
      <c r="H14" s="20">
        <f t="shared" si="12"/>
        <v>8.5565480895915674E-2</v>
      </c>
      <c r="I14" s="20">
        <f t="shared" si="12"/>
        <v>129400</v>
      </c>
      <c r="J14" s="20"/>
      <c r="K14" s="20"/>
      <c r="L14" s="20"/>
      <c r="M14" s="20"/>
      <c r="N14" s="20">
        <f t="shared" si="12"/>
        <v>0.4</v>
      </c>
    </row>
    <row r="15" spans="2:19" ht="15" thickTop="1" x14ac:dyDescent="0.3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19">
        <f t="shared" si="13"/>
        <v>10</v>
      </c>
    </row>
    <row r="16" spans="2:19" x14ac:dyDescent="0.3">
      <c r="B16" s="33" t="s">
        <v>31</v>
      </c>
      <c r="C16" s="18">
        <f>COUNTIF($C$3:$C$12,"&lt;=5")</f>
        <v>6</v>
      </c>
      <c r="D16" s="18">
        <f>COUNTIF($D$3:$D$12,"&gt;=90000")</f>
        <v>9</v>
      </c>
      <c r="E16" s="34"/>
    </row>
    <row r="17" spans="2:5" ht="15" thickBot="1" x14ac:dyDescent="0.35">
      <c r="B17" s="12" t="s">
        <v>31</v>
      </c>
      <c r="C17" s="18">
        <f>COUNTIF($C$3:$C$12,"&lt;="&amp;S3)</f>
        <v>7</v>
      </c>
      <c r="D17" s="18">
        <f>COUNTIF($D$3:$D$12,"&gt;="&amp;S4)</f>
        <v>10</v>
      </c>
      <c r="E1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zoomScale="120" zoomScaleNormal="120" workbookViewId="0">
      <selection activeCell="C13" sqref="C13"/>
    </sheetView>
  </sheetViews>
  <sheetFormatPr defaultColWidth="9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" style="1" hidden="1" customWidth="1"/>
    <col min="8" max="9" width="11" style="1" hidden="1" customWidth="1"/>
    <col min="10" max="10" width="17.21875" style="1" hidden="1" customWidth="1"/>
    <col min="11" max="11" width="14.21875" style="1" hidden="1" customWidth="1"/>
    <col min="12" max="12" width="10.109375" style="1" hidden="1" customWidth="1"/>
    <col min="13" max="13" width="9" style="1" hidden="1" customWidth="1"/>
    <col min="14" max="14" width="10.44140625" style="1" hidden="1" customWidth="1"/>
    <col min="15" max="15" width="14.109375" style="1" customWidth="1"/>
    <col min="16" max="16" width="11.8867187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 x14ac:dyDescent="0.35">
      <c r="G1" s="28"/>
    </row>
    <row r="2" spans="2:19" s="8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" thickBot="1" x14ac:dyDescent="0.35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" thickTop="1" x14ac:dyDescent="0.3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5" thickBot="1" x14ac:dyDescent="0.35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5" thickTop="1" x14ac:dyDescent="0.3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 x14ac:dyDescent="0.3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5" thickBot="1" x14ac:dyDescent="0.35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tabSelected="1" zoomScale="140" zoomScaleNormal="140" workbookViewId="0">
      <selection activeCell="C13" sqref="C13"/>
    </sheetView>
  </sheetViews>
  <sheetFormatPr defaultRowHeight="14.4" x14ac:dyDescent="0.3"/>
  <cols>
    <col min="1" max="1" width="2.109375" customWidth="1"/>
    <col min="2" max="2" width="13.44140625" customWidth="1"/>
    <col min="3" max="3" width="31.44140625" bestFit="1" customWidth="1"/>
    <col min="4" max="4" width="60.44140625" bestFit="1" customWidth="1"/>
  </cols>
  <sheetData>
    <row r="2" spans="2:4" x14ac:dyDescent="0.3">
      <c r="B2" s="37" t="s">
        <v>32</v>
      </c>
      <c r="C2" s="37" t="s">
        <v>40</v>
      </c>
      <c r="D2" s="37" t="s">
        <v>33</v>
      </c>
    </row>
    <row r="3" spans="2:4" x14ac:dyDescent="0.3">
      <c r="B3" s="38" t="e">
        <f>1/0</f>
        <v>#DIV/0!</v>
      </c>
      <c r="C3" s="39" t="s">
        <v>41</v>
      </c>
      <c r="D3" s="38" t="s">
        <v>34</v>
      </c>
    </row>
    <row r="4" spans="2:4" x14ac:dyDescent="0.3">
      <c r="B4" s="38" t="e">
        <f>A4 + "text"</f>
        <v>#VALUE!</v>
      </c>
      <c r="C4" s="39" t="s">
        <v>42</v>
      </c>
      <c r="D4" s="38" t="s">
        <v>35</v>
      </c>
    </row>
    <row r="5" spans="2:4" x14ac:dyDescent="0.3">
      <c r="B5" s="9" t="e">
        <f>#REF!</f>
        <v>#REF!</v>
      </c>
      <c r="C5" s="39" t="s">
        <v>43</v>
      </c>
      <c r="D5" s="38" t="s">
        <v>48</v>
      </c>
    </row>
    <row r="6" spans="2:4" x14ac:dyDescent="0.3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 x14ac:dyDescent="0.3">
      <c r="B7" s="38" t="e">
        <f>VLOOKUP("Value", A1:A10, 2, FALSE)</f>
        <v>#N/A</v>
      </c>
      <c r="C7" s="39" t="s">
        <v>46</v>
      </c>
      <c r="D7" s="38" t="s">
        <v>37</v>
      </c>
    </row>
    <row r="8" spans="2:4" x14ac:dyDescent="0.3">
      <c r="B8" s="38" t="e">
        <f>SQRT(-1)</f>
        <v>#NUM!</v>
      </c>
      <c r="C8" s="39" t="s">
        <v>44</v>
      </c>
      <c r="D8" s="38" t="s">
        <v>38</v>
      </c>
    </row>
    <row r="9" spans="2:4" x14ac:dyDescent="0.3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Vishesh Bajaj</cp:lastModifiedBy>
  <dcterms:created xsi:type="dcterms:W3CDTF">2024-07-16T20:11:02Z</dcterms:created>
  <dcterms:modified xsi:type="dcterms:W3CDTF">2026-07-06T11:56:53Z</dcterms:modified>
</cp:coreProperties>
</file>